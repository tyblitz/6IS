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G6 Files 2026\C4ISTAR Cost Factor and Monthly Inventory\July 2026\"/>
    </mc:Choice>
  </mc:AlternateContent>
  <xr:revisionPtr revIDLastSave="0" documentId="13_ncr:1_{260EB485-3571-48D0-A2CE-0A6B75402F38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heet1" sheetId="1" state="hidden" r:id="rId1"/>
    <sheet name="C4ISTAR EQUIPMENT FORMAT" sheetId="6" r:id="rId2"/>
  </sheets>
  <externalReferences>
    <externalReference r:id="rId3"/>
  </externalReferences>
  <definedNames>
    <definedName name="Category1">[1]DD_Source!$A$2:$A$28</definedName>
    <definedName name="_xlnm.Print_Area" localSheetId="1">'C4ISTAR EQUIPMENT FORMAT'!$A$1:$J$307</definedName>
    <definedName name="_xlnm.Print_Titles" localSheetId="1">'C4ISTAR EQUIPMENT FORMAT'!$A:$C,'C4ISTAR EQUIPMENT FORMAT'!$4:$5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5" i="6" l="1"/>
  <c r="G285" i="6"/>
  <c r="H285" i="6" s="1"/>
  <c r="G284" i="6"/>
  <c r="H284" i="6" s="1"/>
  <c r="G283" i="6"/>
  <c r="H283" i="6" s="1"/>
  <c r="G282" i="6"/>
  <c r="H282" i="6" s="1"/>
  <c r="G281" i="6"/>
  <c r="H281" i="6" s="1"/>
  <c r="G280" i="6"/>
  <c r="H280" i="6" s="1"/>
  <c r="G279" i="6"/>
  <c r="H279" i="6" s="1"/>
  <c r="G278" i="6"/>
  <c r="H278" i="6" s="1"/>
  <c r="G277" i="6"/>
  <c r="H277" i="6" s="1"/>
  <c r="G276" i="6"/>
  <c r="H276" i="6" s="1"/>
  <c r="I275" i="6"/>
  <c r="G275" i="6"/>
  <c r="H275" i="6" s="1"/>
  <c r="I274" i="6"/>
  <c r="G274" i="6"/>
  <c r="H274" i="6" s="1"/>
  <c r="I273" i="6"/>
  <c r="G273" i="6"/>
  <c r="H273" i="6" s="1"/>
  <c r="I272" i="6"/>
  <c r="G272" i="6"/>
  <c r="H272" i="6" s="1"/>
  <c r="I271" i="6"/>
  <c r="G271" i="6"/>
  <c r="H271" i="6" s="1"/>
  <c r="I270" i="6"/>
  <c r="G270" i="6"/>
  <c r="H270" i="6" s="1"/>
  <c r="I269" i="6"/>
  <c r="G269" i="6"/>
  <c r="H269" i="6" s="1"/>
  <c r="I268" i="6"/>
  <c r="G268" i="6"/>
  <c r="H268" i="6" s="1"/>
  <c r="I267" i="6"/>
  <c r="G267" i="6"/>
  <c r="H267" i="6" s="1"/>
  <c r="G266" i="6"/>
  <c r="H266" i="6" s="1"/>
  <c r="I265" i="6"/>
  <c r="G265" i="6"/>
  <c r="H265" i="6" s="1"/>
  <c r="I264" i="6"/>
  <c r="G264" i="6"/>
  <c r="H264" i="6" s="1"/>
  <c r="I263" i="6"/>
  <c r="G263" i="6"/>
  <c r="H263" i="6" s="1"/>
  <c r="I262" i="6"/>
  <c r="G262" i="6"/>
  <c r="H262" i="6" s="1"/>
  <c r="I261" i="6"/>
  <c r="G261" i="6"/>
  <c r="H261" i="6" s="1"/>
  <c r="I260" i="6"/>
  <c r="G260" i="6"/>
  <c r="H260" i="6" s="1"/>
  <c r="G259" i="6"/>
  <c r="H259" i="6" s="1"/>
  <c r="G258" i="6"/>
  <c r="H258" i="6" s="1"/>
  <c r="I257" i="6"/>
  <c r="G257" i="6"/>
  <c r="H257" i="6" s="1"/>
  <c r="I256" i="6"/>
  <c r="G256" i="6"/>
  <c r="H256" i="6" s="1"/>
  <c r="I255" i="6"/>
  <c r="G255" i="6"/>
  <c r="H255" i="6" s="1"/>
  <c r="I254" i="6"/>
  <c r="G254" i="6"/>
  <c r="H254" i="6" s="1"/>
  <c r="I253" i="6"/>
  <c r="G253" i="6"/>
  <c r="H253" i="6" s="1"/>
  <c r="G252" i="6"/>
  <c r="H252" i="6" s="1"/>
  <c r="G251" i="6"/>
  <c r="H251" i="6" s="1"/>
  <c r="I250" i="6"/>
  <c r="H250" i="6"/>
  <c r="G250" i="6"/>
  <c r="I249" i="6"/>
  <c r="G249" i="6"/>
  <c r="H249" i="6" s="1"/>
  <c r="I248" i="6"/>
  <c r="G248" i="6"/>
  <c r="H248" i="6" s="1"/>
  <c r="I247" i="6"/>
  <c r="G247" i="6"/>
  <c r="H247" i="6" s="1"/>
  <c r="G246" i="6"/>
  <c r="H246" i="6" s="1"/>
  <c r="G245" i="6"/>
  <c r="H245" i="6" s="1"/>
  <c r="G244" i="6"/>
  <c r="H244" i="6" s="1"/>
  <c r="G243" i="6"/>
  <c r="H243" i="6" s="1"/>
  <c r="G242" i="6"/>
  <c r="H242" i="6" s="1"/>
  <c r="G241" i="6"/>
  <c r="H241" i="6" s="1"/>
  <c r="I240" i="6"/>
  <c r="G240" i="6"/>
  <c r="H240" i="6" s="1"/>
  <c r="I239" i="6"/>
  <c r="G239" i="6"/>
  <c r="H239" i="6" s="1"/>
  <c r="G238" i="6"/>
  <c r="H238" i="6" s="1"/>
  <c r="G237" i="6"/>
  <c r="H237" i="6" s="1"/>
  <c r="I236" i="6"/>
  <c r="G236" i="6"/>
  <c r="H236" i="6" s="1"/>
  <c r="I235" i="6"/>
  <c r="G235" i="6"/>
  <c r="H235" i="6" s="1"/>
  <c r="I234" i="6"/>
  <c r="G234" i="6"/>
  <c r="H234" i="6" s="1"/>
  <c r="I233" i="6"/>
  <c r="G233" i="6"/>
  <c r="H233" i="6" s="1"/>
  <c r="I232" i="6"/>
  <c r="G232" i="6"/>
  <c r="H232" i="6" s="1"/>
  <c r="I231" i="6"/>
  <c r="G231" i="6"/>
  <c r="H231" i="6" s="1"/>
  <c r="I230" i="6"/>
  <c r="G230" i="6"/>
  <c r="H230" i="6" s="1"/>
  <c r="I229" i="6"/>
  <c r="G229" i="6"/>
  <c r="H229" i="6" s="1"/>
  <c r="I228" i="6"/>
  <c r="G228" i="6"/>
  <c r="H228" i="6" s="1"/>
  <c r="I227" i="6"/>
  <c r="G227" i="6"/>
  <c r="H227" i="6" s="1"/>
  <c r="I226" i="6"/>
  <c r="G226" i="6"/>
  <c r="H226" i="6" s="1"/>
  <c r="I225" i="6"/>
  <c r="G225" i="6"/>
  <c r="H225" i="6" s="1"/>
  <c r="I224" i="6"/>
  <c r="G224" i="6"/>
  <c r="H224" i="6" s="1"/>
  <c r="I223" i="6"/>
  <c r="G223" i="6"/>
  <c r="H223" i="6" s="1"/>
  <c r="I222" i="6"/>
  <c r="G222" i="6"/>
  <c r="H222" i="6" s="1"/>
  <c r="I221" i="6"/>
  <c r="G221" i="6"/>
  <c r="H221" i="6" s="1"/>
  <c r="I220" i="6"/>
  <c r="G220" i="6"/>
  <c r="H220" i="6" s="1"/>
  <c r="I219" i="6"/>
  <c r="G219" i="6"/>
  <c r="H219" i="6" s="1"/>
  <c r="I218" i="6"/>
  <c r="G218" i="6"/>
  <c r="H218" i="6" s="1"/>
  <c r="I217" i="6"/>
  <c r="G217" i="6"/>
  <c r="H217" i="6" s="1"/>
  <c r="I216" i="6"/>
  <c r="G216" i="6"/>
  <c r="H216" i="6" s="1"/>
  <c r="I215" i="6"/>
  <c r="G215" i="6"/>
  <c r="H215" i="6" s="1"/>
  <c r="I214" i="6"/>
  <c r="G214" i="6"/>
  <c r="H214" i="6" s="1"/>
  <c r="I213" i="6"/>
  <c r="G213" i="6"/>
  <c r="H213" i="6" s="1"/>
  <c r="I212" i="6"/>
  <c r="G212" i="6"/>
  <c r="H212" i="6" s="1"/>
  <c r="I211" i="6"/>
  <c r="G211" i="6"/>
  <c r="H211" i="6" s="1"/>
  <c r="I210" i="6"/>
  <c r="G210" i="6"/>
  <c r="H210" i="6" s="1"/>
  <c r="I209" i="6"/>
  <c r="G209" i="6"/>
  <c r="H209" i="6" s="1"/>
  <c r="I208" i="6"/>
  <c r="G208" i="6"/>
  <c r="H208" i="6" s="1"/>
  <c r="I207" i="6"/>
  <c r="G207" i="6"/>
  <c r="H207" i="6" s="1"/>
  <c r="I206" i="6"/>
  <c r="G206" i="6"/>
  <c r="H206" i="6" s="1"/>
  <c r="I205" i="6"/>
  <c r="G205" i="6"/>
  <c r="H205" i="6" s="1"/>
  <c r="G204" i="6"/>
  <c r="H204" i="6" s="1"/>
  <c r="G203" i="6"/>
  <c r="H203" i="6" s="1"/>
  <c r="G202" i="6"/>
  <c r="I202" i="6" s="1"/>
  <c r="G201" i="6"/>
  <c r="H201" i="6" s="1"/>
  <c r="G200" i="6"/>
  <c r="I200" i="6" s="1"/>
  <c r="G199" i="6"/>
  <c r="H199" i="6" s="1"/>
  <c r="I198" i="6"/>
  <c r="G198" i="6"/>
  <c r="H198" i="6" s="1"/>
  <c r="F197" i="6"/>
  <c r="E197" i="6"/>
  <c r="D197" i="6"/>
  <c r="C197" i="6"/>
  <c r="I195" i="6"/>
  <c r="G195" i="6"/>
  <c r="H195" i="6" s="1"/>
  <c r="I194" i="6"/>
  <c r="G194" i="6"/>
  <c r="H194" i="6" s="1"/>
  <c r="I193" i="6"/>
  <c r="G193" i="6"/>
  <c r="H193" i="6" s="1"/>
  <c r="I192" i="6"/>
  <c r="G192" i="6"/>
  <c r="I191" i="6"/>
  <c r="G191" i="6"/>
  <c r="H191" i="6" s="1"/>
  <c r="F190" i="6"/>
  <c r="E190" i="6"/>
  <c r="D190" i="6"/>
  <c r="C190" i="6"/>
  <c r="I188" i="6"/>
  <c r="G188" i="6"/>
  <c r="H188" i="6" s="1"/>
  <c r="I187" i="6"/>
  <c r="G187" i="6"/>
  <c r="H187" i="6" s="1"/>
  <c r="I186" i="6"/>
  <c r="G186" i="6"/>
  <c r="H186" i="6" s="1"/>
  <c r="I185" i="6"/>
  <c r="G185" i="6"/>
  <c r="H185" i="6" s="1"/>
  <c r="I184" i="6"/>
  <c r="G184" i="6"/>
  <c r="H184" i="6" s="1"/>
  <c r="I183" i="6"/>
  <c r="G183" i="6"/>
  <c r="H183" i="6" s="1"/>
  <c r="I182" i="6"/>
  <c r="G182" i="6"/>
  <c r="H182" i="6" s="1"/>
  <c r="G181" i="6"/>
  <c r="I181" i="6" s="1"/>
  <c r="I180" i="6"/>
  <c r="G180" i="6"/>
  <c r="H180" i="6" s="1"/>
  <c r="I179" i="6"/>
  <c r="G179" i="6"/>
  <c r="H179" i="6" s="1"/>
  <c r="I178" i="6"/>
  <c r="G178" i="6"/>
  <c r="H178" i="6" s="1"/>
  <c r="I177" i="6"/>
  <c r="G177" i="6"/>
  <c r="H177" i="6" s="1"/>
  <c r="I176" i="6"/>
  <c r="G176" i="6"/>
  <c r="H176" i="6" s="1"/>
  <c r="I175" i="6"/>
  <c r="G175" i="6"/>
  <c r="H175" i="6" s="1"/>
  <c r="I174" i="6"/>
  <c r="G174" i="6"/>
  <c r="H174" i="6" s="1"/>
  <c r="I173" i="6"/>
  <c r="G173" i="6"/>
  <c r="H173" i="6" s="1"/>
  <c r="I172" i="6"/>
  <c r="G172" i="6"/>
  <c r="H172" i="6" s="1"/>
  <c r="I171" i="6"/>
  <c r="G171" i="6"/>
  <c r="H171" i="6" s="1"/>
  <c r="I170" i="6"/>
  <c r="G170" i="6"/>
  <c r="H170" i="6" s="1"/>
  <c r="I169" i="6"/>
  <c r="G169" i="6"/>
  <c r="H169" i="6" s="1"/>
  <c r="I168" i="6"/>
  <c r="G168" i="6"/>
  <c r="H168" i="6" s="1"/>
  <c r="F167" i="6"/>
  <c r="E167" i="6"/>
  <c r="D167" i="6"/>
  <c r="C167" i="6"/>
  <c r="I165" i="6"/>
  <c r="G165" i="6"/>
  <c r="H165" i="6" s="1"/>
  <c r="I164" i="6"/>
  <c r="G164" i="6"/>
  <c r="H164" i="6" s="1"/>
  <c r="I163" i="6"/>
  <c r="G163" i="6"/>
  <c r="H163" i="6" s="1"/>
  <c r="I162" i="6"/>
  <c r="G162" i="6"/>
  <c r="H162" i="6" s="1"/>
  <c r="I161" i="6"/>
  <c r="G161" i="6"/>
  <c r="H161" i="6" s="1"/>
  <c r="I160" i="6"/>
  <c r="G160" i="6"/>
  <c r="H160" i="6" s="1"/>
  <c r="I159" i="6"/>
  <c r="G159" i="6"/>
  <c r="H159" i="6" s="1"/>
  <c r="I158" i="6"/>
  <c r="G158" i="6"/>
  <c r="H158" i="6" s="1"/>
  <c r="I157" i="6"/>
  <c r="G157" i="6"/>
  <c r="H157" i="6" s="1"/>
  <c r="I156" i="6"/>
  <c r="G156" i="6"/>
  <c r="H156" i="6" s="1"/>
  <c r="G155" i="6"/>
  <c r="H155" i="6" s="1"/>
  <c r="G154" i="6"/>
  <c r="H154" i="6" s="1"/>
  <c r="G153" i="6"/>
  <c r="H153" i="6" s="1"/>
  <c r="F152" i="6"/>
  <c r="E152" i="6"/>
  <c r="D152" i="6"/>
  <c r="C152" i="6"/>
  <c r="I150" i="6"/>
  <c r="G150" i="6"/>
  <c r="H150" i="6" s="1"/>
  <c r="I149" i="6"/>
  <c r="G149" i="6"/>
  <c r="H149" i="6" s="1"/>
  <c r="I148" i="6"/>
  <c r="G148" i="6"/>
  <c r="H148" i="6" s="1"/>
  <c r="I147" i="6"/>
  <c r="H147" i="6"/>
  <c r="G147" i="6"/>
  <c r="I146" i="6"/>
  <c r="G146" i="6"/>
  <c r="H146" i="6" s="1"/>
  <c r="I145" i="6"/>
  <c r="G145" i="6"/>
  <c r="H145" i="6" s="1"/>
  <c r="I144" i="6"/>
  <c r="G144" i="6"/>
  <c r="H144" i="6" s="1"/>
  <c r="I143" i="6"/>
  <c r="G143" i="6"/>
  <c r="H143" i="6" s="1"/>
  <c r="I142" i="6"/>
  <c r="G142" i="6"/>
  <c r="H142" i="6" s="1"/>
  <c r="F141" i="6"/>
  <c r="E141" i="6"/>
  <c r="D141" i="6"/>
  <c r="C141" i="6"/>
  <c r="I139" i="6"/>
  <c r="G139" i="6"/>
  <c r="H139" i="6" s="1"/>
  <c r="I138" i="6"/>
  <c r="G138" i="6"/>
  <c r="H138" i="6" s="1"/>
  <c r="I137" i="6"/>
  <c r="G137" i="6"/>
  <c r="H137" i="6" s="1"/>
  <c r="I136" i="6"/>
  <c r="G136" i="6"/>
  <c r="H136" i="6" s="1"/>
  <c r="F135" i="6"/>
  <c r="E135" i="6"/>
  <c r="D135" i="6"/>
  <c r="C135" i="6"/>
  <c r="I133" i="6"/>
  <c r="G133" i="6"/>
  <c r="H133" i="6" s="1"/>
  <c r="I132" i="6"/>
  <c r="G132" i="6"/>
  <c r="H132" i="6" s="1"/>
  <c r="I131" i="6"/>
  <c r="G131" i="6"/>
  <c r="H131" i="6" s="1"/>
  <c r="I130" i="6"/>
  <c r="G130" i="6"/>
  <c r="H130" i="6" s="1"/>
  <c r="I129" i="6"/>
  <c r="G129" i="6"/>
  <c r="H129" i="6" s="1"/>
  <c r="I128" i="6"/>
  <c r="G128" i="6"/>
  <c r="H128" i="6" s="1"/>
  <c r="I127" i="6"/>
  <c r="G127" i="6"/>
  <c r="H127" i="6" s="1"/>
  <c r="I126" i="6"/>
  <c r="G126" i="6"/>
  <c r="H126" i="6" s="1"/>
  <c r="I125" i="6"/>
  <c r="G125" i="6"/>
  <c r="H125" i="6" s="1"/>
  <c r="I124" i="6"/>
  <c r="G124" i="6"/>
  <c r="H124" i="6" s="1"/>
  <c r="I123" i="6"/>
  <c r="G123" i="6"/>
  <c r="H123" i="6" s="1"/>
  <c r="I122" i="6"/>
  <c r="H122" i="6"/>
  <c r="G122" i="6"/>
  <c r="I121" i="6"/>
  <c r="G121" i="6"/>
  <c r="H121" i="6" s="1"/>
  <c r="I120" i="6"/>
  <c r="G120" i="6"/>
  <c r="H120" i="6" s="1"/>
  <c r="I119" i="6"/>
  <c r="G119" i="6"/>
  <c r="H119" i="6" s="1"/>
  <c r="I118" i="6"/>
  <c r="G118" i="6"/>
  <c r="H118" i="6" s="1"/>
  <c r="I117" i="6"/>
  <c r="G117" i="6"/>
  <c r="H117" i="6" s="1"/>
  <c r="I116" i="6"/>
  <c r="G116" i="6"/>
  <c r="H116" i="6" s="1"/>
  <c r="I115" i="6"/>
  <c r="G115" i="6"/>
  <c r="H115" i="6" s="1"/>
  <c r="I114" i="6"/>
  <c r="G114" i="6"/>
  <c r="H114" i="6" s="1"/>
  <c r="I113" i="6"/>
  <c r="G113" i="6"/>
  <c r="H113" i="6" s="1"/>
  <c r="I112" i="6"/>
  <c r="G112" i="6"/>
  <c r="H112" i="6" s="1"/>
  <c r="I111" i="6"/>
  <c r="H111" i="6"/>
  <c r="G111" i="6"/>
  <c r="I110" i="6"/>
  <c r="G110" i="6"/>
  <c r="H110" i="6" s="1"/>
  <c r="I109" i="6"/>
  <c r="G109" i="6"/>
  <c r="H109" i="6" s="1"/>
  <c r="I108" i="6"/>
  <c r="G108" i="6"/>
  <c r="H108" i="6" s="1"/>
  <c r="I107" i="6"/>
  <c r="G107" i="6"/>
  <c r="H107" i="6" s="1"/>
  <c r="I106" i="6"/>
  <c r="G106" i="6"/>
  <c r="H106" i="6" s="1"/>
  <c r="I105" i="6"/>
  <c r="G105" i="6"/>
  <c r="H105" i="6" s="1"/>
  <c r="I104" i="6"/>
  <c r="G104" i="6"/>
  <c r="H104" i="6" s="1"/>
  <c r="I103" i="6"/>
  <c r="G103" i="6"/>
  <c r="H103" i="6" s="1"/>
  <c r="I102" i="6"/>
  <c r="G102" i="6"/>
  <c r="H102" i="6" s="1"/>
  <c r="I101" i="6"/>
  <c r="G101" i="6"/>
  <c r="H101" i="6" s="1"/>
  <c r="I100" i="6"/>
  <c r="G100" i="6"/>
  <c r="H100" i="6" s="1"/>
  <c r="G99" i="6"/>
  <c r="H99" i="6" s="1"/>
  <c r="F98" i="6"/>
  <c r="E98" i="6"/>
  <c r="D98" i="6"/>
  <c r="C98" i="6"/>
  <c r="I96" i="6"/>
  <c r="G96" i="6"/>
  <c r="H96" i="6" s="1"/>
  <c r="I95" i="6"/>
  <c r="G95" i="6"/>
  <c r="H95" i="6" s="1"/>
  <c r="I94" i="6"/>
  <c r="G94" i="6"/>
  <c r="H94" i="6" s="1"/>
  <c r="I93" i="6"/>
  <c r="G93" i="6"/>
  <c r="H93" i="6" s="1"/>
  <c r="I92" i="6"/>
  <c r="I91" i="6"/>
  <c r="G91" i="6"/>
  <c r="H91" i="6" s="1"/>
  <c r="I90" i="6"/>
  <c r="I97" i="6" s="1"/>
  <c r="G90" i="6"/>
  <c r="H90" i="6" s="1"/>
  <c r="F89" i="6"/>
  <c r="E89" i="6"/>
  <c r="D89" i="6"/>
  <c r="C89" i="6"/>
  <c r="I87" i="6"/>
  <c r="G87" i="6"/>
  <c r="H87" i="6" s="1"/>
  <c r="I86" i="6"/>
  <c r="G86" i="6"/>
  <c r="H86" i="6" s="1"/>
  <c r="I85" i="6"/>
  <c r="I84" i="6"/>
  <c r="G84" i="6"/>
  <c r="H84" i="6" s="1"/>
  <c r="I83" i="6"/>
  <c r="H83" i="6"/>
  <c r="G83" i="6"/>
  <c r="I82" i="6"/>
  <c r="G82" i="6"/>
  <c r="H82" i="6" s="1"/>
  <c r="F81" i="6"/>
  <c r="E81" i="6"/>
  <c r="D81" i="6"/>
  <c r="C81" i="6"/>
  <c r="I79" i="6"/>
  <c r="G79" i="6"/>
  <c r="H79" i="6" s="1"/>
  <c r="I78" i="6"/>
  <c r="G78" i="6"/>
  <c r="H78" i="6" s="1"/>
  <c r="I77" i="6"/>
  <c r="G77" i="6"/>
  <c r="H77" i="6" s="1"/>
  <c r="I76" i="6"/>
  <c r="G76" i="6"/>
  <c r="H76" i="6" s="1"/>
  <c r="I75" i="6"/>
  <c r="G75" i="6"/>
  <c r="H75" i="6" s="1"/>
  <c r="I74" i="6"/>
  <c r="G74" i="6"/>
  <c r="H74" i="6" s="1"/>
  <c r="I73" i="6"/>
  <c r="G73" i="6"/>
  <c r="H73" i="6" s="1"/>
  <c r="I72" i="6"/>
  <c r="G72" i="6"/>
  <c r="H72" i="6" s="1"/>
  <c r="I71" i="6"/>
  <c r="G71" i="6"/>
  <c r="H71" i="6" s="1"/>
  <c r="F70" i="6"/>
  <c r="E70" i="6"/>
  <c r="D70" i="6"/>
  <c r="C70" i="6"/>
  <c r="I68" i="6"/>
  <c r="G68" i="6"/>
  <c r="H68" i="6" s="1"/>
  <c r="I67" i="6"/>
  <c r="G67" i="6"/>
  <c r="H67" i="6" s="1"/>
  <c r="I66" i="6"/>
  <c r="G66" i="6"/>
  <c r="H66" i="6" s="1"/>
  <c r="I65" i="6"/>
  <c r="H65" i="6"/>
  <c r="G65" i="6"/>
  <c r="I64" i="6"/>
  <c r="G64" i="6"/>
  <c r="H64" i="6" s="1"/>
  <c r="I63" i="6"/>
  <c r="G63" i="6"/>
  <c r="H63" i="6" s="1"/>
  <c r="I62" i="6"/>
  <c r="G62" i="6"/>
  <c r="H62" i="6" s="1"/>
  <c r="I61" i="6"/>
  <c r="G61" i="6"/>
  <c r="H61" i="6" s="1"/>
  <c r="I60" i="6"/>
  <c r="G60" i="6"/>
  <c r="I59" i="6"/>
  <c r="G59" i="6"/>
  <c r="H59" i="6" s="1"/>
  <c r="F58" i="6"/>
  <c r="E58" i="6"/>
  <c r="D58" i="6"/>
  <c r="C58" i="6"/>
  <c r="I56" i="6"/>
  <c r="G56" i="6"/>
  <c r="H56" i="6" s="1"/>
  <c r="I55" i="6"/>
  <c r="G55" i="6"/>
  <c r="H55" i="6" s="1"/>
  <c r="I54" i="6"/>
  <c r="G54" i="6"/>
  <c r="H54" i="6" s="1"/>
  <c r="I53" i="6"/>
  <c r="G53" i="6"/>
  <c r="H53" i="6" s="1"/>
  <c r="G52" i="6"/>
  <c r="H52" i="6" s="1"/>
  <c r="I51" i="6"/>
  <c r="G51" i="6"/>
  <c r="H51" i="6" s="1"/>
  <c r="I50" i="6"/>
  <c r="G50" i="6"/>
  <c r="H50" i="6" s="1"/>
  <c r="F49" i="6"/>
  <c r="E49" i="6"/>
  <c r="D49" i="6"/>
  <c r="C49" i="6"/>
  <c r="I47" i="6"/>
  <c r="G47" i="6"/>
  <c r="H47" i="6" s="1"/>
  <c r="I46" i="6"/>
  <c r="G46" i="6"/>
  <c r="H46" i="6" s="1"/>
  <c r="I45" i="6"/>
  <c r="G45" i="6"/>
  <c r="H45" i="6" s="1"/>
  <c r="I44" i="6"/>
  <c r="G44" i="6"/>
  <c r="H44" i="6" s="1"/>
  <c r="I43" i="6"/>
  <c r="G43" i="6"/>
  <c r="H43" i="6" s="1"/>
  <c r="I42" i="6"/>
  <c r="I41" i="6"/>
  <c r="G41" i="6"/>
  <c r="H41" i="6" s="1"/>
  <c r="I40" i="6"/>
  <c r="G40" i="6"/>
  <c r="H40" i="6" s="1"/>
  <c r="I39" i="6"/>
  <c r="G39" i="6"/>
  <c r="H39" i="6" s="1"/>
  <c r="I38" i="6"/>
  <c r="G38" i="6"/>
  <c r="H38" i="6" s="1"/>
  <c r="I37" i="6"/>
  <c r="G37" i="6"/>
  <c r="H37" i="6" s="1"/>
  <c r="I36" i="6"/>
  <c r="G36" i="6"/>
  <c r="H36" i="6" s="1"/>
  <c r="F35" i="6"/>
  <c r="E35" i="6"/>
  <c r="D35" i="6"/>
  <c r="C35" i="6"/>
  <c r="I33" i="6"/>
  <c r="G33" i="6"/>
  <c r="H33" i="6" s="1"/>
  <c r="I32" i="6"/>
  <c r="G32" i="6"/>
  <c r="H32" i="6" s="1"/>
  <c r="I31" i="6"/>
  <c r="G31" i="6"/>
  <c r="H31" i="6" s="1"/>
  <c r="I30" i="6"/>
  <c r="G30" i="6"/>
  <c r="H30" i="6" s="1"/>
  <c r="I29" i="6"/>
  <c r="G29" i="6"/>
  <c r="H29" i="6" s="1"/>
  <c r="I28" i="6"/>
  <c r="I27" i="6"/>
  <c r="G27" i="6"/>
  <c r="H27" i="6" s="1"/>
  <c r="I26" i="6"/>
  <c r="G26" i="6"/>
  <c r="H26" i="6" s="1"/>
  <c r="I25" i="6"/>
  <c r="G25" i="6"/>
  <c r="H25" i="6" s="1"/>
  <c r="I24" i="6"/>
  <c r="G24" i="6"/>
  <c r="H24" i="6" s="1"/>
  <c r="F23" i="6"/>
  <c r="F22" i="6" s="1"/>
  <c r="E23" i="6"/>
  <c r="E22" i="6" s="1"/>
  <c r="D23" i="6"/>
  <c r="C23" i="6"/>
  <c r="D22" i="6"/>
  <c r="C22" i="6"/>
  <c r="R20" i="6"/>
  <c r="P20" i="6"/>
  <c r="Q20" i="6" s="1"/>
  <c r="I20" i="6"/>
  <c r="G20" i="6"/>
  <c r="H20" i="6" s="1"/>
  <c r="R19" i="6"/>
  <c r="P19" i="6"/>
  <c r="Q19" i="6" s="1"/>
  <c r="I19" i="6"/>
  <c r="G19" i="6"/>
  <c r="H19" i="6" s="1"/>
  <c r="R18" i="6"/>
  <c r="P18" i="6"/>
  <c r="Q18" i="6" s="1"/>
  <c r="I18" i="6"/>
  <c r="G18" i="6"/>
  <c r="H18" i="6" s="1"/>
  <c r="R17" i="6"/>
  <c r="P17" i="6"/>
  <c r="Q17" i="6" s="1"/>
  <c r="I17" i="6"/>
  <c r="R16" i="6"/>
  <c r="P16" i="6"/>
  <c r="Q16" i="6" s="1"/>
  <c r="I16" i="6"/>
  <c r="G16" i="6"/>
  <c r="H16" i="6" s="1"/>
  <c r="R15" i="6"/>
  <c r="P15" i="6"/>
  <c r="Q15" i="6" s="1"/>
  <c r="I15" i="6"/>
  <c r="G15" i="6"/>
  <c r="H15" i="6" s="1"/>
  <c r="R14" i="6"/>
  <c r="P14" i="6"/>
  <c r="Q14" i="6" s="1"/>
  <c r="I14" i="6"/>
  <c r="G14" i="6"/>
  <c r="H14" i="6" s="1"/>
  <c r="R13" i="6"/>
  <c r="P13" i="6"/>
  <c r="Q13" i="6" s="1"/>
  <c r="I13" i="6"/>
  <c r="G13" i="6"/>
  <c r="H13" i="6" s="1"/>
  <c r="R12" i="6"/>
  <c r="P12" i="6"/>
  <c r="Q12" i="6" s="1"/>
  <c r="I12" i="6"/>
  <c r="G12" i="6"/>
  <c r="H12" i="6" s="1"/>
  <c r="R11" i="6"/>
  <c r="Q11" i="6"/>
  <c r="P11" i="6"/>
  <c r="G11" i="6"/>
  <c r="I11" i="6" s="1"/>
  <c r="R10" i="6"/>
  <c r="P10" i="6"/>
  <c r="Q10" i="6" s="1"/>
  <c r="I10" i="6"/>
  <c r="G10" i="6"/>
  <c r="H10" i="6" s="1"/>
  <c r="R9" i="6"/>
  <c r="P9" i="6"/>
  <c r="Q9" i="6" s="1"/>
  <c r="G9" i="6"/>
  <c r="R8" i="6"/>
  <c r="P8" i="6"/>
  <c r="Q8" i="6" s="1"/>
  <c r="F8" i="6"/>
  <c r="F7" i="6" s="1"/>
  <c r="E8" i="6"/>
  <c r="E7" i="6" s="1"/>
  <c r="D8" i="6"/>
  <c r="C8" i="6"/>
  <c r="C7" i="6" s="1"/>
  <c r="R7" i="6"/>
  <c r="P7" i="6"/>
  <c r="Q7" i="6" s="1"/>
  <c r="D7" i="6"/>
  <c r="R6" i="6"/>
  <c r="P6" i="6"/>
  <c r="Q6" i="6" s="1"/>
  <c r="I48" i="6" l="1"/>
  <c r="H181" i="6"/>
  <c r="H189" i="6" s="1"/>
  <c r="I284" i="6"/>
  <c r="I283" i="6"/>
  <c r="I282" i="6"/>
  <c r="I281" i="6"/>
  <c r="I280" i="6"/>
  <c r="I279" i="6"/>
  <c r="I278" i="6"/>
  <c r="I277" i="6"/>
  <c r="I276" i="6"/>
  <c r="I266" i="6"/>
  <c r="I259" i="6"/>
  <c r="I258" i="6"/>
  <c r="I252" i="6"/>
  <c r="I251" i="6"/>
  <c r="I246" i="6"/>
  <c r="I245" i="6"/>
  <c r="I244" i="6"/>
  <c r="I243" i="6"/>
  <c r="I242" i="6"/>
  <c r="I241" i="6"/>
  <c r="I238" i="6"/>
  <c r="I237" i="6"/>
  <c r="I204" i="6"/>
  <c r="I203" i="6"/>
  <c r="H202" i="6"/>
  <c r="I201" i="6"/>
  <c r="H200" i="6"/>
  <c r="I199" i="6"/>
  <c r="I155" i="6"/>
  <c r="I154" i="6"/>
  <c r="I153" i="6"/>
  <c r="I52" i="6"/>
  <c r="I57" i="6" s="1"/>
  <c r="H11" i="6"/>
  <c r="H34" i="6"/>
  <c r="G58" i="6"/>
  <c r="I189" i="6"/>
  <c r="G8" i="6"/>
  <c r="G7" i="6" s="1"/>
  <c r="I34" i="6"/>
  <c r="I196" i="6"/>
  <c r="H140" i="6"/>
  <c r="H166" i="6"/>
  <c r="I140" i="6"/>
  <c r="I88" i="6"/>
  <c r="I151" i="6"/>
  <c r="I99" i="6"/>
  <c r="I134" i="6" s="1"/>
  <c r="I80" i="6"/>
  <c r="I9" i="6"/>
  <c r="I21" i="6" s="1"/>
  <c r="H57" i="6"/>
  <c r="H88" i="6"/>
  <c r="H151" i="6"/>
  <c r="H48" i="6"/>
  <c r="H80" i="6"/>
  <c r="H60" i="6"/>
  <c r="H69" i="6" s="1"/>
  <c r="H134" i="6"/>
  <c r="G49" i="6"/>
  <c r="G23" i="6"/>
  <c r="G22" i="6" s="1"/>
  <c r="G81" i="6"/>
  <c r="G190" i="6"/>
  <c r="H9" i="6"/>
  <c r="C287" i="6"/>
  <c r="D287" i="6"/>
  <c r="E287" i="6"/>
  <c r="G70" i="6"/>
  <c r="H192" i="6"/>
  <c r="H196" i="6" s="1"/>
  <c r="G98" i="6"/>
  <c r="G152" i="6"/>
  <c r="H97" i="6"/>
  <c r="I69" i="6"/>
  <c r="F287" i="6"/>
  <c r="G89" i="6"/>
  <c r="G135" i="6"/>
  <c r="G35" i="6"/>
  <c r="G141" i="6"/>
  <c r="G167" i="6"/>
  <c r="H286" i="6" l="1"/>
  <c r="I286" i="6"/>
  <c r="I166" i="6"/>
  <c r="H21" i="6"/>
  <c r="G287" i="6"/>
  <c r="H288" i="6" l="1"/>
  <c r="F293" i="6" s="1"/>
  <c r="D294" i="6" s="1"/>
  <c r="I288" i="6"/>
  <c r="I293" i="6" s="1"/>
  <c r="G294" i="6" s="1"/>
  <c r="D293" i="6" l="1"/>
  <c r="G293" i="6"/>
</calcChain>
</file>

<file path=xl/sharedStrings.xml><?xml version="1.0" encoding="utf-8"?>
<sst xmlns="http://schemas.openxmlformats.org/spreadsheetml/2006/main" count="318" uniqueCount="269">
  <si>
    <t>STOCK NR</t>
  </si>
  <si>
    <t>DESCRIPTION</t>
  </si>
  <si>
    <t>QUANTITY</t>
  </si>
  <si>
    <t>WEAPONS</t>
  </si>
  <si>
    <t>Category 1- Individual Weapon</t>
  </si>
  <si>
    <t>Pistol</t>
  </si>
  <si>
    <t>Rifle</t>
  </si>
  <si>
    <t>Category 2- Crew Served Weapon</t>
  </si>
  <si>
    <t>Category 3- Fire Support Weapon</t>
  </si>
  <si>
    <t>MOBILITY</t>
  </si>
  <si>
    <t>Special Purpose Vehicle</t>
  </si>
  <si>
    <t xml:space="preserve">Motorcycle </t>
  </si>
  <si>
    <t>C4ISTAR EQUIPMENT</t>
  </si>
  <si>
    <t xml:space="preserve"> A. COMMUNICATIONS</t>
  </si>
  <si>
    <t xml:space="preserve">      1. FIXED COMMUNICATION</t>
  </si>
  <si>
    <t xml:space="preserve">          Telephone Set</t>
  </si>
  <si>
    <t xml:space="preserve">      2. BASE and MOBILE (Military Specs)</t>
  </si>
  <si>
    <t xml:space="preserve">          a. UHF Channel Motorolla Radio</t>
  </si>
  <si>
    <t xml:space="preserve">          b. VHF Harris Radio</t>
  </si>
  <si>
    <t xml:space="preserve">      3. BASE and MOBILE (Commercial Specs)</t>
  </si>
  <si>
    <t xml:space="preserve">          a. VHF-FM High Band Hand Held Radio</t>
  </si>
  <si>
    <t xml:space="preserve">          b. VHF-FM Base Radio High Band</t>
  </si>
  <si>
    <t xml:space="preserve"> B. CYBER SECURITY </t>
  </si>
  <si>
    <t xml:space="preserve"> C. SENSOR INTEGRATION SYSTEM </t>
  </si>
  <si>
    <t xml:space="preserve">  D. COMMON OPERATIONAL (COP)/SITUATIONAL AWARENESS (SA) </t>
  </si>
  <si>
    <t xml:space="preserve"> E. INFORMATION MANAGEMENT SYSTEM </t>
  </si>
  <si>
    <t xml:space="preserve"> F. OPERATIONAL INTELLIGENCE  </t>
  </si>
  <si>
    <t xml:space="preserve"> G. MISSION PLANNING </t>
  </si>
  <si>
    <t xml:space="preserve"> H. EXECUTION MANAGEMENT </t>
  </si>
  <si>
    <t xml:space="preserve"> I. OTHER C2 SYSTEM </t>
  </si>
  <si>
    <t xml:space="preserve">    Audio Recorder/Voice Recorder</t>
  </si>
  <si>
    <t xml:space="preserve">    CCTV </t>
  </si>
  <si>
    <t xml:space="preserve">    Digital Camera</t>
  </si>
  <si>
    <t xml:space="preserve">    Desktop Computer Set</t>
  </si>
  <si>
    <t xml:space="preserve">    Facsimile Machine</t>
  </si>
  <si>
    <t xml:space="preserve">    Laptop Computer</t>
  </si>
  <si>
    <t xml:space="preserve">    Local Area Network System</t>
  </si>
  <si>
    <t xml:space="preserve">    Multimedia Projector</t>
  </si>
  <si>
    <t xml:space="preserve">    Photocopier Machine</t>
  </si>
  <si>
    <t xml:space="preserve">    Printer</t>
  </si>
  <si>
    <t xml:space="preserve">    Scanner Document</t>
  </si>
  <si>
    <t xml:space="preserve">    Video Camera</t>
  </si>
  <si>
    <t>VOLUME II</t>
  </si>
  <si>
    <t>SECTION 3. EQUIPMENT ALLOWANCES</t>
  </si>
  <si>
    <t>B. SECONDARY EQUIPMENT ALLOWANCES</t>
  </si>
  <si>
    <t>OFFICE OF THE CHIEF OF STAFF, AFP</t>
  </si>
  <si>
    <t xml:space="preserve">QUARTERMASTER </t>
  </si>
  <si>
    <t>Air Conditioner Unit (ACU)</t>
  </si>
  <si>
    <t>Arm Rack</t>
  </si>
  <si>
    <t>Bookshelves</t>
  </si>
  <si>
    <t>Refrigerator</t>
  </si>
  <si>
    <t>Safety Vault</t>
  </si>
  <si>
    <t xml:space="preserve">Television Set </t>
  </si>
  <si>
    <t>STOCK 
NR</t>
  </si>
  <si>
    <t>Facsimile Machine</t>
  </si>
  <si>
    <t>Scanner Document</t>
  </si>
  <si>
    <t>Bar Code Reader</t>
  </si>
  <si>
    <t>Firewall</t>
  </si>
  <si>
    <t>VPN Software</t>
  </si>
  <si>
    <t>Server</t>
  </si>
  <si>
    <t>Public Address System</t>
  </si>
  <si>
    <t>Photocopier Machine</t>
  </si>
  <si>
    <t>Archiving Machine</t>
  </si>
  <si>
    <t>Proximity Access Security</t>
  </si>
  <si>
    <t>Teleprompter</t>
  </si>
  <si>
    <t>Document Reader</t>
  </si>
  <si>
    <t>Printer, Plotter</t>
  </si>
  <si>
    <t>Printer, Blueprint</t>
  </si>
  <si>
    <t>Air Reconnaissance System</t>
  </si>
  <si>
    <t>AFP Mapping System</t>
  </si>
  <si>
    <t>Radio Transmitter</t>
  </si>
  <si>
    <t>Risograph</t>
  </si>
  <si>
    <t>Microwave Transmission System</t>
  </si>
  <si>
    <t xml:space="preserve">Telephone Switch </t>
  </si>
  <si>
    <t>Video Teleconferencing System</t>
  </si>
  <si>
    <t>Portable Digital Forensic Toolkit</t>
  </si>
  <si>
    <t>Analysis Software</t>
  </si>
  <si>
    <t>Laser Microphone</t>
  </si>
  <si>
    <t>Spectrum Analyzer</t>
  </si>
  <si>
    <t>Radio Direction Finding System</t>
  </si>
  <si>
    <t>Document Management System</t>
  </si>
  <si>
    <t>Research Analysis System</t>
  </si>
  <si>
    <t>Disaster Recovery System</t>
  </si>
  <si>
    <t>Data Analytics System</t>
  </si>
  <si>
    <t>Encryption System</t>
  </si>
  <si>
    <t>Intrusion Detection System (IDS) / Intrusion Prevention 
System (IPS)</t>
  </si>
  <si>
    <t>Extended Detection and Response (EDR)</t>
  </si>
  <si>
    <t>Vulnerability Assessment and Penetration Testing Tool</t>
  </si>
  <si>
    <t>Network Load Balancer</t>
  </si>
  <si>
    <t>Endpoint Security</t>
  </si>
  <si>
    <t>Core Switches</t>
  </si>
  <si>
    <t>Network Access Control</t>
  </si>
  <si>
    <t>Threat Management System</t>
  </si>
  <si>
    <t>Electronic Security Issuing Device</t>
  </si>
  <si>
    <t>Forensic System for Mobile Phone</t>
  </si>
  <si>
    <t>Forensic System for PC</t>
  </si>
  <si>
    <t>Forensic System for Hardware</t>
  </si>
  <si>
    <t>Reballing Machine</t>
  </si>
  <si>
    <t>Login Management Software</t>
  </si>
  <si>
    <t>HD Camera</t>
  </si>
  <si>
    <t xml:space="preserve">IP Radio </t>
  </si>
  <si>
    <t>HF (Base/Manpack)</t>
  </si>
  <si>
    <t>Radio Repeater System</t>
  </si>
  <si>
    <t>A. COMMUNICATIONS</t>
  </si>
  <si>
    <t>1. FIXED COMMUNICATIONS</t>
  </si>
  <si>
    <t>Digital Subscriber Line Access Multiplexer Modem</t>
  </si>
  <si>
    <t xml:space="preserve">PABX System </t>
  </si>
  <si>
    <t>2. COMBAT NET RADIO SYSTEM</t>
  </si>
  <si>
    <t>VHF (Base/ Manpack/ Vehicular / Handheld )</t>
  </si>
  <si>
    <t>UHF/FM (Base/ Vehicular /Handheld)</t>
  </si>
  <si>
    <t>3. SATELLITE COMMUNICATIONS</t>
  </si>
  <si>
    <t>4. CELLULAR MOBILE TELEPHONE SYSTEM</t>
  </si>
  <si>
    <t>Conference Microphone System</t>
  </si>
  <si>
    <t xml:space="preserve">LED Wall Set </t>
  </si>
  <si>
    <t>LED TV/Monitor  Set</t>
  </si>
  <si>
    <t>Blue Force Tracker</t>
  </si>
  <si>
    <t>Signal Scanner</t>
  </si>
  <si>
    <t>Signal Jammer</t>
  </si>
  <si>
    <t>Signal Analyzer</t>
  </si>
  <si>
    <t>IP Encryptor</t>
  </si>
  <si>
    <t>Fusion Machine</t>
  </si>
  <si>
    <t>Personnel Management System</t>
  </si>
  <si>
    <t>Geographical Information System</t>
  </si>
  <si>
    <t>Simulation System</t>
  </si>
  <si>
    <t>Global Command and Control System - Maritime (GCCS-M) (Battle Management System)</t>
  </si>
  <si>
    <t>Cellebrite UFED Link Analysis</t>
  </si>
  <si>
    <t>Digital Forensic Tools Adapter Bundle</t>
  </si>
  <si>
    <t>Forensic Imaging</t>
  </si>
  <si>
    <t>Unified Security Management (USM Sensor)</t>
  </si>
  <si>
    <t xml:space="preserve">Intrusion System </t>
  </si>
  <si>
    <t>Diagnostic System Test Equipment</t>
  </si>
  <si>
    <t>Radio Frequency-7801 Test Equipment</t>
  </si>
  <si>
    <t>Test and Fault Equipment</t>
  </si>
  <si>
    <t>Retractable Antenna</t>
  </si>
  <si>
    <t>Mobile IP Radio</t>
  </si>
  <si>
    <t>Mobile Satellite Internet</t>
  </si>
  <si>
    <t xml:space="preserve">MSA 2050 </t>
  </si>
  <si>
    <t xml:space="preserve">Portable Cell Site </t>
  </si>
  <si>
    <t>E1/Ethernet Converter</t>
  </si>
  <si>
    <t>E1/T1 Converter</t>
  </si>
  <si>
    <t>Server Amplifier</t>
  </si>
  <si>
    <t>Ethernet Surge Suppressor</t>
  </si>
  <si>
    <t>Radio Frequency Analyzer</t>
  </si>
  <si>
    <t>Parabolic antenna</t>
  </si>
  <si>
    <t>Multi-Axis Robotic System</t>
  </si>
  <si>
    <t>Leak Test Station</t>
  </si>
  <si>
    <t>Rework Station</t>
  </si>
  <si>
    <t>CCTV System</t>
  </si>
  <si>
    <t>Action Camera</t>
  </si>
  <si>
    <t>Printer, Wide Sheet (Digital Plotter)</t>
  </si>
  <si>
    <t>Laser Printer (Colored)</t>
  </si>
  <si>
    <t xml:space="preserve">Electronic Access Control/Biometrics System </t>
  </si>
  <si>
    <t>Network-attached storage (NAS)</t>
  </si>
  <si>
    <t>Large Format Printer</t>
  </si>
  <si>
    <t>Dot Matrix Printer</t>
  </si>
  <si>
    <t>Intercom System</t>
  </si>
  <si>
    <t>Projector Wide Screen</t>
  </si>
  <si>
    <t xml:space="preserve">C. SENSOR SYSTEM </t>
  </si>
  <si>
    <t xml:space="preserve">E. INFORMATION SYSTEM </t>
  </si>
  <si>
    <t>H. OTHER ICT EQUIPMENT</t>
  </si>
  <si>
    <t>Army Simulator</t>
  </si>
  <si>
    <t>Navy Simulator</t>
  </si>
  <si>
    <t>Flight Simulator</t>
  </si>
  <si>
    <t>Artillery Trainer</t>
  </si>
  <si>
    <t>Tactical Engagement Simulation</t>
  </si>
  <si>
    <t>Range Finder</t>
  </si>
  <si>
    <t xml:space="preserve">D. COMMON OPERATIONAL PICTURE (COP)/SITUATIONAL AWARENESS (SA) </t>
  </si>
  <si>
    <t>Multimedia Projector Set</t>
  </si>
  <si>
    <t>SEIM Software</t>
  </si>
  <si>
    <t>Library Automation</t>
  </si>
  <si>
    <t>Enhance Data Communication Project</t>
  </si>
  <si>
    <t>Industrial UPS System for Data Center</t>
  </si>
  <si>
    <t xml:space="preserve">F. MANAGEMENT INFORMATION SYSTEM </t>
  </si>
  <si>
    <t>Access Control and Clearance Management System</t>
  </si>
  <si>
    <t>Logistics Management System</t>
  </si>
  <si>
    <t>Electronic Communications Monitoring System</t>
  </si>
  <si>
    <t>B. CYBERSECURITY SYSTEMS</t>
  </si>
  <si>
    <t>Forensic Password Accelerator Workstation</t>
  </si>
  <si>
    <t>Tactical Data Link</t>
  </si>
  <si>
    <t>Combined Enterprise Regional Information Exchange System (CENTRIX)</t>
  </si>
  <si>
    <t>Microwave Radio</t>
  </si>
  <si>
    <t>Metro-E Modem</t>
  </si>
  <si>
    <t>IPVPN Modem</t>
  </si>
  <si>
    <t>Cross Domain Solutions (CDS)</t>
  </si>
  <si>
    <t xml:space="preserve">Camera, Digital </t>
  </si>
  <si>
    <t xml:space="preserve">Camera, Video </t>
  </si>
  <si>
    <t>Camera, Webcam</t>
  </si>
  <si>
    <t>Printer, Multi-function</t>
  </si>
  <si>
    <t>Printer, 3D</t>
  </si>
  <si>
    <t xml:space="preserve">Recorder, Audio/Video </t>
  </si>
  <si>
    <t xml:space="preserve">Microphone, Wired/Wireless </t>
  </si>
  <si>
    <t>Speaker, Passive/Active</t>
  </si>
  <si>
    <t>Optical Mark Recognition (OMR)</t>
  </si>
  <si>
    <t>Media Converter</t>
  </si>
  <si>
    <t>Harris Command and Control (HC2)</t>
  </si>
  <si>
    <t>Wide-area Intelligence Surveillance and Reconnaissance Discovery (WISRD)</t>
  </si>
  <si>
    <t>G. MISSION PLANNING SYSTEMS</t>
  </si>
  <si>
    <t>POS Computer Terminal Set</t>
  </si>
  <si>
    <t>POS Computer Server</t>
  </si>
  <si>
    <t xml:space="preserve">Others:  </t>
  </si>
  <si>
    <t>Radio Set, HF, ________ (Commercial Specs - _______)</t>
  </si>
  <si>
    <r>
      <t xml:space="preserve">Radio Set, HF, Marine Band, Base  </t>
    </r>
    <r>
      <rPr>
        <sz val="12"/>
        <color rgb="FFFF0000"/>
        <rFont val="Arial"/>
        <family val="2"/>
      </rPr>
      <t>(Commercial Specs - _______)</t>
    </r>
  </si>
  <si>
    <r>
      <t xml:space="preserve">Radio Set, HF, Air Band, Base  </t>
    </r>
    <r>
      <rPr>
        <sz val="12"/>
        <color rgb="FFFF0000"/>
        <rFont val="Arial"/>
        <family val="2"/>
      </rPr>
      <t>(Commercial Specs - _______)</t>
    </r>
  </si>
  <si>
    <r>
      <t xml:space="preserve">Radio Set, VHF, Air Band, Base,  </t>
    </r>
    <r>
      <rPr>
        <sz val="12"/>
        <color rgb="FFFF0000"/>
        <rFont val="Arial"/>
        <family val="2"/>
      </rPr>
      <t>(Commercial Specs - _______)</t>
    </r>
  </si>
  <si>
    <r>
      <t xml:space="preserve">Radio Set, VHF, Air Band, Handheld ,  </t>
    </r>
    <r>
      <rPr>
        <sz val="12"/>
        <color rgb="FFFF0000"/>
        <rFont val="Arial"/>
        <family val="2"/>
      </rPr>
      <t>(Commercial Specs - _______)</t>
    </r>
  </si>
  <si>
    <r>
      <t xml:space="preserve">Radio Set, VHF, Marine Band, Base ,  </t>
    </r>
    <r>
      <rPr>
        <sz val="12"/>
        <color rgb="FFFF0000"/>
        <rFont val="Arial"/>
        <family val="2"/>
      </rPr>
      <t>(Commercial Specs - _______)</t>
    </r>
  </si>
  <si>
    <r>
      <t xml:space="preserve">Radio Set, VHF, Marine Band, Handheld ,  </t>
    </r>
    <r>
      <rPr>
        <sz val="12"/>
        <color rgb="FFFF0000"/>
        <rFont val="Arial"/>
        <family val="2"/>
      </rPr>
      <t>(Commercial Specs - _______)</t>
    </r>
  </si>
  <si>
    <t>Radio Set, VHF, ________ (Commercial Specs - _______)</t>
  </si>
  <si>
    <r>
      <t xml:space="preserve">Radio Set, UHF/FM, Base, </t>
    </r>
    <r>
      <rPr>
        <sz val="12"/>
        <color rgb="FFFF0000"/>
        <rFont val="Arial"/>
        <family val="2"/>
      </rPr>
      <t>(Commercial Specs - _______)</t>
    </r>
  </si>
  <si>
    <r>
      <t xml:space="preserve">Radio Set, UHF/FM, Vehicular, </t>
    </r>
    <r>
      <rPr>
        <sz val="12"/>
        <color rgb="FFFF0000"/>
        <rFont val="Arial"/>
        <family val="2"/>
      </rPr>
      <t>(Commercial Specs - _______)</t>
    </r>
  </si>
  <si>
    <r>
      <t xml:space="preserve">Radio Set, UHF/FM, Handheld, </t>
    </r>
    <r>
      <rPr>
        <sz val="12"/>
        <color rgb="FFFF0000"/>
        <rFont val="Arial"/>
        <family val="2"/>
      </rPr>
      <t>(Commercial Specs - _______)</t>
    </r>
  </si>
  <si>
    <t>Radio Set, HF, ________ (Military Specs - ______)</t>
  </si>
  <si>
    <t>Radio Set, VHF, ________ (Military Specs - ______)</t>
  </si>
  <si>
    <r>
      <t xml:space="preserve">Radio Set, VHF/UHF, Manpack, </t>
    </r>
    <r>
      <rPr>
        <sz val="12"/>
        <color rgb="FFFF0000"/>
        <rFont val="Arial"/>
        <family val="2"/>
      </rPr>
      <t>(Military Specs - ______)</t>
    </r>
  </si>
  <si>
    <r>
      <t xml:space="preserve">Radio Set, VHF/UHF, Manpack, </t>
    </r>
    <r>
      <rPr>
        <sz val="12"/>
        <color rgb="FFFF0000"/>
        <rFont val="Arial"/>
        <family val="2"/>
      </rPr>
      <t>(Commercial Specs - _______)</t>
    </r>
  </si>
  <si>
    <r>
      <t xml:space="preserve">Radio Set, VHF/UHF, Base , </t>
    </r>
    <r>
      <rPr>
        <sz val="12"/>
        <color rgb="FFFF0000"/>
        <rFont val="Arial"/>
        <family val="2"/>
      </rPr>
      <t xml:space="preserve">(Military Specs - ______) </t>
    </r>
  </si>
  <si>
    <r>
      <t xml:space="preserve">Radio Set, VHF/UHF, Base , </t>
    </r>
    <r>
      <rPr>
        <sz val="12"/>
        <color rgb="FFFF0000"/>
        <rFont val="Arial"/>
        <family val="2"/>
      </rPr>
      <t>(Commercial Specs - _______)</t>
    </r>
  </si>
  <si>
    <r>
      <t xml:space="preserve">Radio Set, VHF/UHF, Handheld, </t>
    </r>
    <r>
      <rPr>
        <sz val="12"/>
        <color rgb="FFFF0000"/>
        <rFont val="Arial"/>
        <family val="2"/>
      </rPr>
      <t xml:space="preserve">(Military Specs - ______) </t>
    </r>
  </si>
  <si>
    <r>
      <t xml:space="preserve">Radio Set, VHF/UHF, Handheld, </t>
    </r>
    <r>
      <rPr>
        <sz val="12"/>
        <color rgb="FFFF0000"/>
        <rFont val="Arial"/>
        <family val="2"/>
      </rPr>
      <t>(Commercial Specs - _______)</t>
    </r>
  </si>
  <si>
    <t>MultiBand Radio (Base/ Manpack/Handheld)</t>
  </si>
  <si>
    <r>
      <t xml:space="preserve">VHF Repeater System, </t>
    </r>
    <r>
      <rPr>
        <sz val="12"/>
        <color rgb="FFFF0000"/>
        <rFont val="Arial"/>
        <family val="2"/>
      </rPr>
      <t>(Commercial Specs - _______)</t>
    </r>
  </si>
  <si>
    <r>
      <t xml:space="preserve">UHF Repeater System, </t>
    </r>
    <r>
      <rPr>
        <sz val="12"/>
        <color rgb="FFFF0000"/>
        <rFont val="Arial"/>
        <family val="2"/>
      </rPr>
      <t>(Commercial Specs - _______)</t>
    </r>
  </si>
  <si>
    <r>
      <t xml:space="preserve">Digital Vehicular Repeater System, </t>
    </r>
    <r>
      <rPr>
        <sz val="12"/>
        <color rgb="FFFF0000"/>
        <rFont val="Arial"/>
        <family val="2"/>
      </rPr>
      <t>(Commercial Specs - _______)</t>
    </r>
  </si>
  <si>
    <r>
      <t xml:space="preserve">VHF Repeater System, </t>
    </r>
    <r>
      <rPr>
        <sz val="12"/>
        <color rgb="FFFF0000"/>
        <rFont val="Arial"/>
        <family val="2"/>
      </rPr>
      <t xml:space="preserve">(Military Specs - ______) </t>
    </r>
  </si>
  <si>
    <t>Required (TOE)</t>
  </si>
  <si>
    <t>Nomenclature</t>
  </si>
  <si>
    <t>On-Hand</t>
  </si>
  <si>
    <t>Equipment Rating</t>
  </si>
  <si>
    <t>Maintenance Rating</t>
  </si>
  <si>
    <t>(F/B)100</t>
  </si>
  <si>
    <t>For Repair</t>
  </si>
  <si>
    <t>For Turn-in /BER</t>
  </si>
  <si>
    <t>Operational</t>
  </si>
  <si>
    <t>OVERALL READINESS RATING</t>
  </si>
  <si>
    <t>PREPARED BY:</t>
  </si>
  <si>
    <t>CERTIFIED CORRECT:</t>
  </si>
  <si>
    <t xml:space="preserve">                   _________________________</t>
  </si>
  <si>
    <t>Rating:</t>
  </si>
  <si>
    <t>Status</t>
  </si>
  <si>
    <t>C4ISTAR EQUIPMENT MONTHLY REPORT</t>
  </si>
  <si>
    <r>
      <t xml:space="preserve">Satellite Phone </t>
    </r>
    <r>
      <rPr>
        <sz val="12"/>
        <color rgb="FFFF0000"/>
        <rFont val="Arial"/>
        <family val="2"/>
      </rPr>
      <t>(Commercial Specs - _______)</t>
    </r>
  </si>
  <si>
    <r>
      <t xml:space="preserve">Very Small Aperture Terminal (VSAT) </t>
    </r>
    <r>
      <rPr>
        <sz val="12"/>
        <color rgb="FFFF0000"/>
        <rFont val="Arial"/>
        <family val="2"/>
      </rPr>
      <t>(Commercial Specs - _______)</t>
    </r>
  </si>
  <si>
    <r>
      <t xml:space="preserve">Satellite Terminal </t>
    </r>
    <r>
      <rPr>
        <sz val="12"/>
        <color rgb="FFFF0000"/>
        <rFont val="Arial"/>
        <family val="2"/>
      </rPr>
      <t>(Commercial Specs - _______)</t>
    </r>
  </si>
  <si>
    <r>
      <t xml:space="preserve">Mobile Phone </t>
    </r>
    <r>
      <rPr>
        <sz val="12"/>
        <color rgb="FFFF0000"/>
        <rFont val="Arial"/>
        <family val="2"/>
      </rPr>
      <t>(Commercial Specs - _______)</t>
    </r>
  </si>
  <si>
    <t>Total Rating:</t>
  </si>
  <si>
    <t>Computer Set, Desktop</t>
  </si>
  <si>
    <t>Computer Set, Laptop</t>
  </si>
  <si>
    <t>Computer Set, Tablet</t>
  </si>
  <si>
    <t>MAINTENANCE RATING</t>
  </si>
  <si>
    <t>EQUIPMENT RATING</t>
  </si>
  <si>
    <t>C4ISTAR EQUIPMENT PARAMETERS</t>
  </si>
  <si>
    <t>Radio Set, HF/SSB, 100-150W Base  (Military Specs)</t>
  </si>
  <si>
    <t>Radio Set, HF/SSB, 20W Manpack (Military  Specs)</t>
  </si>
  <si>
    <t>Radio Set, VHF, 2-10W Handheld  (Military Specs )</t>
  </si>
  <si>
    <t>Total Equipment</t>
  </si>
  <si>
    <t>Other ICT not in CEIS Category</t>
  </si>
  <si>
    <r>
      <t xml:space="preserve">Radio Set, VHF, Base, </t>
    </r>
    <r>
      <rPr>
        <sz val="12"/>
        <color rgb="FFFF0000"/>
        <rFont val="Arial"/>
        <family val="2"/>
      </rPr>
      <t>(Commercial Specs - ______)</t>
    </r>
  </si>
  <si>
    <t>Local Area Network System</t>
  </si>
  <si>
    <t>Photo Printer Machine</t>
  </si>
  <si>
    <t>Radio Scanner</t>
  </si>
  <si>
    <t>Stereo Component</t>
  </si>
  <si>
    <t>Tape Recorder</t>
  </si>
  <si>
    <t>Router/Modem/Switch</t>
  </si>
  <si>
    <t>WIFI Set</t>
  </si>
  <si>
    <t>Wireless Acess Point (WAP)</t>
  </si>
  <si>
    <t xml:space="preserve">Audio Amplifier </t>
  </si>
  <si>
    <t>Application Software</t>
  </si>
  <si>
    <t>UNIT/OFFICE: GHQ &amp; HSC, AFP</t>
  </si>
  <si>
    <t>PERIOD COVERED: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</si>
</sst>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.0000%"/>
  </numFmts>
  <fonts count="3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u/>
      <sz val="12"/>
      <color theme="1"/>
      <name val="Arial"/>
      <family val="2"/>
    </font>
    <font>
      <b/>
      <i/>
      <sz val="12"/>
      <color theme="1"/>
      <name val="Arial"/>
      <family val="2"/>
    </font>
    <font>
      <sz val="12"/>
      <color rgb="FF000000"/>
      <name val="Arial"/>
      <family val="2"/>
    </font>
    <font>
      <i/>
      <sz val="12"/>
      <color rgb="FFC0504D"/>
      <name val="Arial"/>
      <family val="2"/>
    </font>
    <font>
      <b/>
      <u/>
      <sz val="12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sz val="11"/>
      <name val="Calibri"/>
      <family val="2"/>
      <scheme val="minor"/>
    </font>
    <font>
      <sz val="12"/>
      <color theme="2"/>
      <name val="Arial"/>
      <family val="2"/>
    </font>
    <font>
      <sz val="11"/>
      <color theme="2"/>
      <name val="Calibri"/>
      <family val="2"/>
      <scheme val="minor"/>
    </font>
    <font>
      <sz val="11"/>
      <color theme="1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2"/>
      <color theme="0"/>
      <name val="Arial"/>
      <family val="2"/>
    </font>
    <font>
      <b/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8"/>
      <color theme="0"/>
      <name val="Arial"/>
      <family val="2"/>
    </font>
    <font>
      <b/>
      <sz val="18"/>
      <name val="Arial"/>
      <family val="2"/>
    </font>
    <font>
      <b/>
      <sz val="14"/>
      <color theme="1"/>
      <name val="Calibri"/>
      <family val="2"/>
      <scheme val="minor"/>
    </font>
    <font>
      <b/>
      <sz val="16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D5DC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4B084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2" tint="-9.9978637043366805E-2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11" fillId="0" borderId="0" applyFont="0" applyFill="0" applyBorder="0" applyAlignment="0" applyProtection="0"/>
    <xf numFmtId="0" fontId="14" fillId="0" borderId="0"/>
    <xf numFmtId="0" fontId="11" fillId="0" borderId="0"/>
    <xf numFmtId="3" fontId="13" fillId="3" borderId="10" applyNumberFormat="0" applyFont="0" applyFill="0" applyAlignment="0" applyProtection="0">
      <alignment horizontal="center" vertical="center"/>
      <protection locked="0"/>
    </xf>
    <xf numFmtId="9" fontId="11" fillId="0" borderId="0" applyFont="0" applyFill="0" applyBorder="0" applyAlignment="0" applyProtection="0"/>
  </cellStyleXfs>
  <cellXfs count="16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1" fillId="0" borderId="0" xfId="0" applyFont="1"/>
    <xf numFmtId="0" fontId="10" fillId="0" borderId="7" xfId="0" applyFont="1" applyBorder="1" applyAlignment="1">
      <alignment horizontal="center" vertical="center" wrapText="1"/>
    </xf>
    <xf numFmtId="0" fontId="17" fillId="0" borderId="0" xfId="0" applyFont="1"/>
    <xf numFmtId="0" fontId="1" fillId="3" borderId="0" xfId="0" applyFont="1" applyFill="1"/>
    <xf numFmtId="0" fontId="0" fillId="3" borderId="0" xfId="0" applyFill="1"/>
    <xf numFmtId="0" fontId="18" fillId="0" borderId="6" xfId="0" applyFont="1" applyBorder="1" applyAlignment="1">
      <alignment vertical="center"/>
    </xf>
    <xf numFmtId="0" fontId="19" fillId="0" borderId="0" xfId="0" applyFont="1"/>
    <xf numFmtId="0" fontId="13" fillId="0" borderId="6" xfId="0" applyFont="1" applyBorder="1" applyAlignment="1">
      <alignment vertical="center"/>
    </xf>
    <xf numFmtId="0" fontId="1" fillId="0" borderId="7" xfId="0" applyFont="1" applyBorder="1" applyAlignment="1">
      <alignment horizontal="left" vertical="center" indent="5"/>
    </xf>
    <xf numFmtId="0" fontId="6" fillId="0" borderId="9" xfId="0" applyFont="1" applyBorder="1" applyAlignment="1">
      <alignment horizontal="left" vertical="center" indent="7"/>
    </xf>
    <xf numFmtId="0" fontId="1" fillId="0" borderId="9" xfId="0" applyFont="1" applyBorder="1" applyAlignment="1">
      <alignment horizontal="left" vertical="center" indent="10"/>
    </xf>
    <xf numFmtId="0" fontId="2" fillId="0" borderId="9" xfId="0" applyFont="1" applyBorder="1" applyAlignment="1">
      <alignment horizontal="left" vertical="center" indent="10"/>
    </xf>
    <xf numFmtId="0" fontId="1" fillId="0" borderId="9" xfId="0" applyFont="1" applyBorder="1" applyAlignment="1">
      <alignment horizontal="left" vertical="center" indent="5"/>
    </xf>
    <xf numFmtId="0" fontId="1" fillId="0" borderId="9" xfId="0" applyFont="1" applyBorder="1" applyAlignment="1">
      <alignment horizontal="left" vertical="center" wrapText="1" indent="5"/>
    </xf>
    <xf numFmtId="0" fontId="1" fillId="0" borderId="8" xfId="0" applyFont="1" applyBorder="1" applyAlignment="1">
      <alignment horizontal="left" vertical="center" indent="5"/>
    </xf>
    <xf numFmtId="0" fontId="6" fillId="0" borderId="9" xfId="0" applyFont="1" applyBorder="1" applyAlignment="1">
      <alignment horizontal="left" vertical="center" indent="5"/>
    </xf>
    <xf numFmtId="0" fontId="13" fillId="0" borderId="9" xfId="0" applyFont="1" applyBorder="1" applyAlignment="1">
      <alignment horizontal="left" vertical="center" indent="5"/>
    </xf>
    <xf numFmtId="0" fontId="13" fillId="0" borderId="13" xfId="0" applyFont="1" applyBorder="1" applyAlignment="1">
      <alignment horizontal="left" vertical="center" indent="5"/>
    </xf>
    <xf numFmtId="0" fontId="13" fillId="0" borderId="8" xfId="0" applyFont="1" applyBorder="1" applyAlignment="1">
      <alignment horizontal="left" vertical="center" indent="5"/>
    </xf>
    <xf numFmtId="0" fontId="1" fillId="0" borderId="0" xfId="0" applyFont="1" applyAlignment="1" applyProtection="1">
      <alignment wrapText="1"/>
      <protection hidden="1"/>
    </xf>
    <xf numFmtId="0" fontId="1" fillId="0" borderId="12" xfId="0" applyFont="1" applyBorder="1" applyAlignment="1">
      <alignment horizontal="left" vertical="center" indent="5"/>
    </xf>
    <xf numFmtId="0" fontId="6" fillId="0" borderId="7" xfId="0" applyFont="1" applyBorder="1" applyAlignment="1">
      <alignment horizontal="left" vertical="center" wrapText="1" indent="5"/>
    </xf>
    <xf numFmtId="0" fontId="28" fillId="0" borderId="0" xfId="0" applyFont="1" applyAlignment="1">
      <alignment horizontal="center" vertical="center"/>
    </xf>
    <xf numFmtId="165" fontId="17" fillId="0" borderId="0" xfId="0" applyNumberFormat="1" applyFont="1"/>
    <xf numFmtId="0" fontId="17" fillId="3" borderId="0" xfId="0" applyFont="1" applyFill="1"/>
    <xf numFmtId="0" fontId="20" fillId="0" borderId="9" xfId="0" applyFont="1" applyBorder="1" applyAlignment="1">
      <alignment horizontal="left" vertical="center" indent="5"/>
    </xf>
    <xf numFmtId="2" fontId="17" fillId="3" borderId="0" xfId="0" applyNumberFormat="1" applyFont="1" applyFill="1"/>
    <xf numFmtId="0" fontId="2" fillId="0" borderId="7" xfId="0" applyFont="1" applyBorder="1" applyAlignment="1">
      <alignment horizontal="left" vertical="center" indent="10"/>
    </xf>
    <xf numFmtId="0" fontId="2" fillId="12" borderId="9" xfId="0" applyFont="1" applyFill="1" applyBorder="1" applyAlignment="1" applyProtection="1">
      <alignment horizontal="left" vertical="center" indent="10"/>
      <protection locked="0"/>
    </xf>
    <xf numFmtId="0" fontId="1" fillId="12" borderId="9" xfId="0" applyFont="1" applyFill="1" applyBorder="1" applyAlignment="1" applyProtection="1">
      <alignment horizontal="left" vertical="center" wrapText="1" indent="5"/>
      <protection locked="0"/>
    </xf>
    <xf numFmtId="0" fontId="6" fillId="12" borderId="9" xfId="0" applyFont="1" applyFill="1" applyBorder="1" applyAlignment="1" applyProtection="1">
      <alignment horizontal="left" vertical="center" indent="10"/>
      <protection locked="0"/>
    </xf>
    <xf numFmtId="0" fontId="1" fillId="12" borderId="0" xfId="0" applyFont="1" applyFill="1" applyProtection="1">
      <protection locked="0"/>
    </xf>
    <xf numFmtId="0" fontId="1" fillId="12" borderId="9" xfId="0" applyFont="1" applyFill="1" applyBorder="1" applyAlignment="1" applyProtection="1">
      <alignment horizontal="left" vertical="center" indent="10"/>
      <protection locked="0"/>
    </xf>
    <xf numFmtId="0" fontId="13" fillId="12" borderId="9" xfId="0" applyFont="1" applyFill="1" applyBorder="1" applyAlignment="1" applyProtection="1">
      <alignment horizontal="left" vertical="center" indent="10"/>
      <protection locked="0"/>
    </xf>
    <xf numFmtId="0" fontId="16" fillId="12" borderId="9" xfId="0" applyFont="1" applyFill="1" applyBorder="1" applyAlignment="1" applyProtection="1">
      <alignment horizontal="left" vertical="center" indent="11"/>
      <protection locked="0"/>
    </xf>
    <xf numFmtId="0" fontId="15" fillId="0" borderId="7" xfId="2" applyFont="1" applyBorder="1" applyAlignment="1">
      <alignment horizontal="center"/>
    </xf>
    <xf numFmtId="0" fontId="0" fillId="0" borderId="7" xfId="0" applyBorder="1"/>
    <xf numFmtId="0" fontId="13" fillId="12" borderId="0" xfId="0" applyFont="1" applyFill="1" applyAlignment="1" applyProtection="1">
      <alignment vertical="center"/>
      <protection locked="0"/>
    </xf>
    <xf numFmtId="1" fontId="24" fillId="0" borderId="0" xfId="0" applyNumberFormat="1" applyFont="1" applyAlignment="1">
      <alignment horizontal="center" vertical="center" wrapText="1"/>
    </xf>
    <xf numFmtId="1" fontId="15" fillId="8" borderId="7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 applyProtection="1">
      <alignment wrapText="1"/>
      <protection hidden="1"/>
    </xf>
    <xf numFmtId="1" fontId="1" fillId="0" borderId="0" xfId="0" applyNumberFormat="1" applyFont="1" applyAlignment="1" applyProtection="1">
      <alignment horizontal="center" vertical="center" wrapText="1"/>
      <protection hidden="1"/>
    </xf>
    <xf numFmtId="1" fontId="15" fillId="9" borderId="7" xfId="0" applyNumberFormat="1" applyFont="1" applyFill="1" applyBorder="1" applyAlignment="1">
      <alignment horizontal="center" vertical="center" wrapText="1"/>
    </xf>
    <xf numFmtId="1" fontId="15" fillId="10" borderId="7" xfId="0" applyNumberFormat="1" applyFont="1" applyFill="1" applyBorder="1" applyAlignment="1">
      <alignment horizontal="center" vertical="center" wrapText="1"/>
    </xf>
    <xf numFmtId="1" fontId="0" fillId="0" borderId="7" xfId="0" applyNumberFormat="1" applyBorder="1"/>
    <xf numFmtId="1" fontId="0" fillId="3" borderId="0" xfId="0" applyNumberFormat="1" applyFill="1"/>
    <xf numFmtId="1" fontId="1" fillId="0" borderId="0" xfId="0" applyNumberFormat="1" applyFont="1" applyAlignment="1" applyProtection="1">
      <alignment horizontal="center" vertical="center"/>
      <protection hidden="1"/>
    </xf>
    <xf numFmtId="1" fontId="0" fillId="0" borderId="0" xfId="0" applyNumberFormat="1"/>
    <xf numFmtId="1" fontId="22" fillId="0" borderId="7" xfId="0" applyNumberFormat="1" applyFont="1" applyBorder="1"/>
    <xf numFmtId="1" fontId="23" fillId="0" borderId="7" xfId="0" applyNumberFormat="1" applyFont="1" applyBorder="1"/>
    <xf numFmtId="1" fontId="1" fillId="0" borderId="0" xfId="0" applyNumberFormat="1" applyFont="1" applyAlignment="1" applyProtection="1">
      <alignment horizontal="right" vertical="center"/>
      <protection hidden="1"/>
    </xf>
    <xf numFmtId="1" fontId="21" fillId="0" borderId="7" xfId="0" applyNumberFormat="1" applyFont="1" applyBorder="1"/>
    <xf numFmtId="0" fontId="1" fillId="0" borderId="6" xfId="0" applyFont="1" applyBorder="1"/>
    <xf numFmtId="0" fontId="1" fillId="3" borderId="6" xfId="0" applyFont="1" applyFill="1" applyBorder="1"/>
    <xf numFmtId="0" fontId="1" fillId="3" borderId="15" xfId="0" applyFont="1" applyFill="1" applyBorder="1"/>
    <xf numFmtId="1" fontId="13" fillId="0" borderId="7" xfId="1" applyNumberFormat="1" applyFont="1" applyFill="1" applyBorder="1" applyAlignment="1" applyProtection="1">
      <alignment horizontal="center" vertical="center"/>
    </xf>
    <xf numFmtId="1" fontId="1" fillId="0" borderId="7" xfId="0" applyNumberFormat="1" applyFon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13" fillId="3" borderId="0" xfId="1" applyNumberFormat="1" applyFont="1" applyFill="1" applyAlignment="1">
      <alignment horizontal="center"/>
    </xf>
    <xf numFmtId="1" fontId="1" fillId="3" borderId="0" xfId="0" applyNumberFormat="1" applyFont="1" applyFill="1" applyAlignment="1">
      <alignment horizontal="center"/>
    </xf>
    <xf numFmtId="1" fontId="0" fillId="3" borderId="0" xfId="0" applyNumberFormat="1" applyFill="1" applyAlignment="1">
      <alignment horizontal="center"/>
    </xf>
    <xf numFmtId="1" fontId="1" fillId="0" borderId="0" xfId="0" applyNumberFormat="1" applyFont="1" applyAlignment="1" applyProtection="1">
      <alignment horizontal="center" wrapText="1"/>
      <protection hidden="1"/>
    </xf>
    <xf numFmtId="1" fontId="1" fillId="0" borderId="0" xfId="0" applyNumberFormat="1" applyFont="1" applyAlignment="1" applyProtection="1">
      <alignment horizontal="center"/>
      <protection hidden="1"/>
    </xf>
    <xf numFmtId="1" fontId="13" fillId="4" borderId="0" xfId="1" applyNumberFormat="1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15" fillId="16" borderId="9" xfId="0" applyFont="1" applyFill="1" applyBorder="1" applyAlignment="1">
      <alignment horizontal="right" vertical="center"/>
    </xf>
    <xf numFmtId="0" fontId="26" fillId="5" borderId="9" xfId="0" applyFont="1" applyFill="1" applyBorder="1" applyAlignment="1">
      <alignment horizontal="left" vertical="center" indent="5"/>
    </xf>
    <xf numFmtId="0" fontId="27" fillId="7" borderId="9" xfId="2" applyFont="1" applyFill="1" applyBorder="1" applyAlignment="1">
      <alignment horizontal="left" indent="3"/>
    </xf>
    <xf numFmtId="0" fontId="24" fillId="0" borderId="0" xfId="0" applyFont="1" applyAlignment="1">
      <alignment horizontal="center" vertical="center" wrapText="1"/>
    </xf>
    <xf numFmtId="0" fontId="15" fillId="0" borderId="9" xfId="0" applyFont="1" applyBorder="1" applyAlignment="1">
      <alignment horizontal="left" vertical="center" indent="10"/>
    </xf>
    <xf numFmtId="0" fontId="3" fillId="6" borderId="7" xfId="0" applyFont="1" applyFill="1" applyBorder="1" applyAlignment="1">
      <alignment vertical="center"/>
    </xf>
    <xf numFmtId="1" fontId="3" fillId="6" borderId="7" xfId="0" applyNumberFormat="1" applyFont="1" applyFill="1" applyBorder="1" applyAlignment="1">
      <alignment vertical="center"/>
    </xf>
    <xf numFmtId="1" fontId="27" fillId="7" borderId="7" xfId="2" applyNumberFormat="1" applyFont="1" applyFill="1" applyBorder="1"/>
    <xf numFmtId="0" fontId="27" fillId="7" borderId="7" xfId="2" applyFont="1" applyFill="1" applyBorder="1"/>
    <xf numFmtId="10" fontId="22" fillId="0" borderId="7" xfId="0" applyNumberFormat="1" applyFont="1" applyBorder="1"/>
    <xf numFmtId="10" fontId="22" fillId="0" borderId="7" xfId="5" applyNumberFormat="1" applyFont="1" applyBorder="1"/>
    <xf numFmtId="10" fontId="29" fillId="16" borderId="7" xfId="0" applyNumberFormat="1" applyFont="1" applyFill="1" applyBorder="1"/>
    <xf numFmtId="10" fontId="25" fillId="16" borderId="7" xfId="5" applyNumberFormat="1" applyFont="1" applyFill="1" applyBorder="1" applyProtection="1"/>
    <xf numFmtId="0" fontId="27" fillId="7" borderId="7" xfId="2" applyFont="1" applyFill="1" applyBorder="1" applyAlignment="1">
      <alignment horizontal="left" indent="3"/>
    </xf>
    <xf numFmtId="1" fontId="26" fillId="5" borderId="7" xfId="0" applyNumberFormat="1" applyFont="1" applyFill="1" applyBorder="1" applyAlignment="1">
      <alignment vertical="center"/>
    </xf>
    <xf numFmtId="0" fontId="26" fillId="5" borderId="7" xfId="0" applyFont="1" applyFill="1" applyBorder="1" applyAlignment="1">
      <alignment vertical="center"/>
    </xf>
    <xf numFmtId="10" fontId="22" fillId="0" borderId="7" xfId="5" applyNumberFormat="1" applyFont="1" applyFill="1" applyBorder="1"/>
    <xf numFmtId="10" fontId="29" fillId="16" borderId="7" xfId="5" applyNumberFormat="1" applyFont="1" applyFill="1" applyBorder="1"/>
    <xf numFmtId="10" fontId="21" fillId="0" borderId="7" xfId="0" applyNumberFormat="1" applyFont="1" applyBorder="1"/>
    <xf numFmtId="1" fontId="27" fillId="7" borderId="7" xfId="2" applyNumberFormat="1" applyFont="1" applyFill="1" applyBorder="1" applyAlignment="1">
      <alignment horizontal="right" indent="3"/>
    </xf>
    <xf numFmtId="0" fontId="3" fillId="6" borderId="9" xfId="0" applyFont="1" applyFill="1" applyBorder="1" applyAlignment="1">
      <alignment vertical="center"/>
    </xf>
    <xf numFmtId="166" fontId="22" fillId="0" borderId="7" xfId="5" applyNumberFormat="1" applyFont="1" applyBorder="1"/>
    <xf numFmtId="166" fontId="29" fillId="16" borderId="7" xfId="5" applyNumberFormat="1" applyFont="1" applyFill="1" applyBorder="1"/>
    <xf numFmtId="10" fontId="23" fillId="0" borderId="7" xfId="5" applyNumberFormat="1" applyFont="1" applyBorder="1"/>
    <xf numFmtId="10" fontId="23" fillId="0" borderId="7" xfId="0" applyNumberFormat="1" applyFont="1" applyBorder="1"/>
    <xf numFmtId="10" fontId="23" fillId="0" borderId="7" xfId="5" applyNumberFormat="1" applyFont="1" applyBorder="1" applyProtection="1"/>
    <xf numFmtId="10" fontId="32" fillId="16" borderId="7" xfId="5" applyNumberFormat="1" applyFont="1" applyFill="1" applyBorder="1"/>
    <xf numFmtId="10" fontId="23" fillId="16" borderId="7" xfId="5" applyNumberFormat="1" applyFont="1" applyFill="1" applyBorder="1"/>
    <xf numFmtId="1" fontId="15" fillId="16" borderId="7" xfId="0" applyNumberFormat="1" applyFont="1" applyFill="1" applyBorder="1" applyAlignment="1">
      <alignment horizontal="right" vertical="center"/>
    </xf>
    <xf numFmtId="10" fontId="24" fillId="13" borderId="7" xfId="5" applyNumberFormat="1" applyFont="1" applyFill="1" applyBorder="1"/>
    <xf numFmtId="10" fontId="31" fillId="14" borderId="7" xfId="5" applyNumberFormat="1" applyFont="1" applyFill="1" applyBorder="1" applyAlignment="1" applyProtection="1">
      <alignment horizontal="center" wrapText="1"/>
      <protection hidden="1"/>
    </xf>
    <xf numFmtId="10" fontId="31" fillId="15" borderId="7" xfId="5" applyNumberFormat="1" applyFont="1" applyFill="1" applyBorder="1" applyAlignment="1" applyProtection="1">
      <alignment horizontal="center" wrapText="1"/>
      <protection hidden="1"/>
    </xf>
    <xf numFmtId="1" fontId="3" fillId="6" borderId="7" xfId="0" applyNumberFormat="1" applyFont="1" applyFill="1" applyBorder="1" applyAlignment="1">
      <alignment horizontal="right" vertical="center"/>
    </xf>
    <xf numFmtId="1" fontId="27" fillId="7" borderId="7" xfId="2" applyNumberFormat="1" applyFont="1" applyFill="1" applyBorder="1" applyAlignment="1">
      <alignment horizontal="right"/>
    </xf>
    <xf numFmtId="1" fontId="21" fillId="12" borderId="7" xfId="1" applyNumberFormat="1" applyFont="1" applyFill="1" applyBorder="1" applyAlignment="1" applyProtection="1">
      <alignment horizontal="right" vertical="center"/>
      <protection locked="0"/>
    </xf>
    <xf numFmtId="1" fontId="21" fillId="0" borderId="7" xfId="1" applyNumberFormat="1" applyFont="1" applyFill="1" applyBorder="1" applyAlignment="1" applyProtection="1">
      <alignment horizontal="right" vertical="center"/>
    </xf>
    <xf numFmtId="1" fontId="26" fillId="5" borderId="7" xfId="0" applyNumberFormat="1" applyFont="1" applyFill="1" applyBorder="1" applyAlignment="1">
      <alignment horizontal="right" vertical="center"/>
    </xf>
    <xf numFmtId="1" fontId="21" fillId="17" borderId="7" xfId="1" applyNumberFormat="1" applyFont="1" applyFill="1" applyBorder="1" applyAlignment="1" applyProtection="1">
      <alignment horizontal="right" vertical="center"/>
      <protection locked="0"/>
    </xf>
    <xf numFmtId="1" fontId="21" fillId="17" borderId="11" xfId="1" applyNumberFormat="1" applyFont="1" applyFill="1" applyBorder="1" applyAlignment="1" applyProtection="1">
      <alignment horizontal="right" vertical="center"/>
      <protection locked="0"/>
    </xf>
    <xf numFmtId="1" fontId="21" fillId="0" borderId="7" xfId="1" applyNumberFormat="1" applyFont="1" applyFill="1" applyBorder="1" applyAlignment="1" applyProtection="1">
      <alignment horizontal="right" vertical="center"/>
      <protection locked="0"/>
    </xf>
    <xf numFmtId="1" fontId="21" fillId="12" borderId="7" xfId="1" applyNumberFormat="1" applyFont="1" applyFill="1" applyBorder="1" applyAlignment="1" applyProtection="1">
      <alignment vertical="center"/>
      <protection locked="0"/>
    </xf>
    <xf numFmtId="1" fontId="21" fillId="0" borderId="7" xfId="1" applyNumberFormat="1" applyFont="1" applyFill="1" applyBorder="1" applyAlignment="1" applyProtection="1">
      <alignment vertical="center"/>
    </xf>
    <xf numFmtId="1" fontId="27" fillId="7" borderId="7" xfId="2" applyNumberFormat="1" applyFont="1" applyFill="1" applyBorder="1" applyAlignment="1">
      <alignment vertical="center"/>
    </xf>
    <xf numFmtId="1" fontId="21" fillId="17" borderId="7" xfId="1" applyNumberFormat="1" applyFont="1" applyFill="1" applyBorder="1" applyAlignment="1" applyProtection="1">
      <alignment vertical="center"/>
      <protection locked="0"/>
    </xf>
    <xf numFmtId="1" fontId="21" fillId="17" borderId="11" xfId="1" applyNumberFormat="1" applyFont="1" applyFill="1" applyBorder="1" applyAlignment="1" applyProtection="1">
      <alignment vertical="center"/>
      <protection locked="0"/>
    </xf>
    <xf numFmtId="1" fontId="21" fillId="0" borderId="7" xfId="1" applyNumberFormat="1" applyFont="1" applyFill="1" applyBorder="1" applyAlignment="1" applyProtection="1">
      <alignment vertical="center"/>
      <protection locked="0"/>
    </xf>
    <xf numFmtId="0" fontId="1" fillId="0" borderId="7" xfId="0" applyFont="1" applyBorder="1"/>
    <xf numFmtId="9" fontId="1" fillId="0" borderId="7" xfId="5" applyFont="1" applyBorder="1" applyProtection="1"/>
    <xf numFmtId="0" fontId="1" fillId="12" borderId="7" xfId="0" applyFont="1" applyFill="1" applyBorder="1" applyProtection="1">
      <protection locked="0"/>
    </xf>
    <xf numFmtId="0" fontId="15" fillId="13" borderId="7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13" borderId="7" xfId="0" applyFont="1" applyFill="1" applyBorder="1" applyAlignment="1">
      <alignment horizontal="center" vertical="center" wrapText="1"/>
    </xf>
    <xf numFmtId="1" fontId="15" fillId="13" borderId="7" xfId="0" applyNumberFormat="1" applyFont="1" applyFill="1" applyBorder="1" applyAlignment="1">
      <alignment horizontal="center" vertical="center" wrapText="1"/>
    </xf>
    <xf numFmtId="0" fontId="15" fillId="16" borderId="9" xfId="0" applyFont="1" applyFill="1" applyBorder="1" applyAlignment="1">
      <alignment horizontal="right" vertical="center"/>
    </xf>
    <xf numFmtId="0" fontId="15" fillId="16" borderId="14" xfId="0" applyFont="1" applyFill="1" applyBorder="1" applyAlignment="1">
      <alignment horizontal="right" vertical="center"/>
    </xf>
    <xf numFmtId="0" fontId="15" fillId="16" borderId="11" xfId="0" applyFont="1" applyFill="1" applyBorder="1" applyAlignment="1">
      <alignment horizontal="right" vertical="center"/>
    </xf>
    <xf numFmtId="0" fontId="25" fillId="16" borderId="9" xfId="0" applyFont="1" applyFill="1" applyBorder="1" applyAlignment="1">
      <alignment horizontal="right" vertical="center"/>
    </xf>
    <xf numFmtId="0" fontId="25" fillId="16" borderId="14" xfId="0" applyFont="1" applyFill="1" applyBorder="1" applyAlignment="1">
      <alignment horizontal="right" vertical="center"/>
    </xf>
    <xf numFmtId="0" fontId="25" fillId="16" borderId="11" xfId="0" applyFont="1" applyFill="1" applyBorder="1" applyAlignment="1">
      <alignment horizontal="right" vertical="center"/>
    </xf>
    <xf numFmtId="0" fontId="31" fillId="13" borderId="9" xfId="0" applyFont="1" applyFill="1" applyBorder="1" applyAlignment="1">
      <alignment horizontal="right" vertical="center"/>
    </xf>
    <xf numFmtId="0" fontId="31" fillId="13" borderId="14" xfId="0" applyFont="1" applyFill="1" applyBorder="1" applyAlignment="1">
      <alignment horizontal="right" vertical="center"/>
    </xf>
    <xf numFmtId="0" fontId="31" fillId="13" borderId="11" xfId="0" applyFont="1" applyFill="1" applyBorder="1" applyAlignment="1">
      <alignment horizontal="right" vertical="center"/>
    </xf>
    <xf numFmtId="0" fontId="24" fillId="0" borderId="7" xfId="0" applyFont="1" applyBorder="1" applyAlignment="1" applyProtection="1">
      <alignment horizontal="center" vertical="center" wrapText="1"/>
      <protection hidden="1"/>
    </xf>
    <xf numFmtId="0" fontId="24" fillId="14" borderId="9" xfId="0" applyFont="1" applyFill="1" applyBorder="1" applyAlignment="1" applyProtection="1">
      <alignment horizontal="center" vertical="center" wrapText="1"/>
      <protection hidden="1"/>
    </xf>
    <xf numFmtId="0" fontId="24" fillId="14" borderId="14" xfId="0" applyFont="1" applyFill="1" applyBorder="1" applyAlignment="1" applyProtection="1">
      <alignment horizontal="center" vertical="center" wrapText="1"/>
      <protection hidden="1"/>
    </xf>
    <xf numFmtId="0" fontId="24" fillId="14" borderId="11" xfId="0" applyFont="1" applyFill="1" applyBorder="1" applyAlignment="1" applyProtection="1">
      <alignment horizontal="center" vertical="center" wrapText="1"/>
      <protection hidden="1"/>
    </xf>
    <xf numFmtId="0" fontId="24" fillId="15" borderId="9" xfId="0" applyFont="1" applyFill="1" applyBorder="1" applyAlignment="1" applyProtection="1">
      <alignment horizontal="center" vertical="center" wrapText="1"/>
      <protection hidden="1"/>
    </xf>
    <xf numFmtId="0" fontId="24" fillId="15" borderId="14" xfId="0" applyFont="1" applyFill="1" applyBorder="1" applyAlignment="1" applyProtection="1">
      <alignment horizontal="center" vertical="center" wrapText="1"/>
      <protection hidden="1"/>
    </xf>
    <xf numFmtId="0" fontId="24" fillId="15" borderId="11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left"/>
      <protection hidden="1"/>
    </xf>
    <xf numFmtId="0" fontId="24" fillId="0" borderId="7" xfId="0" applyFont="1" applyBorder="1" applyAlignment="1" applyProtection="1">
      <alignment horizontal="center" vertical="center"/>
      <protection hidden="1"/>
    </xf>
    <xf numFmtId="2" fontId="30" fillId="11" borderId="7" xfId="0" applyNumberFormat="1" applyFont="1" applyFill="1" applyBorder="1" applyAlignment="1" applyProtection="1">
      <alignment horizontal="center" vertical="center" wrapText="1"/>
      <protection hidden="1"/>
    </xf>
    <xf numFmtId="0" fontId="33" fillId="0" borderId="7" xfId="0" applyFont="1" applyBorder="1" applyAlignment="1" applyProtection="1">
      <alignment horizontal="center" wrapText="1"/>
      <protection hidden="1"/>
    </xf>
  </cellXfs>
  <cellStyles count="6">
    <cellStyle name="Comma" xfId="1" builtinId="3"/>
    <cellStyle name="Normal" xfId="0" builtinId="0"/>
    <cellStyle name="Normal 2" xfId="2" xr:uid="{D1B7ADB8-1A86-4D49-A356-81DE4F457A79}"/>
    <cellStyle name="Normal 9 69 2 3" xfId="3" xr:uid="{B33CCD2D-CC80-485E-A470-AFA7E9F00D8E}"/>
    <cellStyle name="Percent" xfId="5" builtinId="5"/>
    <cellStyle name="Style 1" xfId="4" xr:uid="{D1FD0E94-C0E5-2944-8FEA-2BD2C7EC7E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86591</xdr:colOff>
      <xdr:row>299</xdr:row>
      <xdr:rowOff>138544</xdr:rowOff>
    </xdr:from>
    <xdr:to>
      <xdr:col>9</xdr:col>
      <xdr:colOff>117507</xdr:colOff>
      <xdr:row>303</xdr:row>
      <xdr:rowOff>52891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793BFF6-6544-4985-A0A5-C2A7380ACAEB}"/>
            </a:ext>
          </a:extLst>
        </xdr:cNvPr>
        <xdr:cNvGrpSpPr/>
      </xdr:nvGrpSpPr>
      <xdr:grpSpPr>
        <a:xfrm>
          <a:off x="10205503" y="69603809"/>
          <a:ext cx="2126416" cy="721170"/>
          <a:chOff x="10008054" y="71957292"/>
          <a:chExt cx="2126416" cy="745619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774425BD-32F1-744C-9E37-B6FB89998A5F}"/>
              </a:ext>
            </a:extLst>
          </xdr:cNvPr>
          <xdr:cNvSpPr txBox="1"/>
        </xdr:nvSpPr>
        <xdr:spPr>
          <a:xfrm>
            <a:off x="10048875" y="71957292"/>
            <a:ext cx="1950599" cy="2988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400">
                <a:latin typeface="Arial" panose="020B0604020202020204" pitchFamily="34" charset="0"/>
                <a:cs typeface="Arial" panose="020B0604020202020204" pitchFamily="34" charset="0"/>
              </a:rPr>
              <a:t>GEORGE A</a:t>
            </a:r>
            <a:r>
              <a:rPr lang="en-US" sz="1400" baseline="0">
                <a:latin typeface="Arial" panose="020B0604020202020204" pitchFamily="34" charset="0"/>
                <a:cs typeface="Arial" panose="020B0604020202020204" pitchFamily="34" charset="0"/>
              </a:rPr>
              <a:t> MANALO</a:t>
            </a:r>
            <a:endParaRPr lang="en-US" sz="14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5F579501-8C70-F1D3-E36B-0F4CDE5264A6}"/>
              </a:ext>
            </a:extLst>
          </xdr:cNvPr>
          <xdr:cNvSpPr txBox="1"/>
        </xdr:nvSpPr>
        <xdr:spPr>
          <a:xfrm>
            <a:off x="10035268" y="72202221"/>
            <a:ext cx="1996059" cy="2558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400">
                <a:latin typeface="Arial" panose="020B0604020202020204" pitchFamily="34" charset="0"/>
                <a:cs typeface="Arial" panose="020B0604020202020204" pitchFamily="34" charset="0"/>
              </a:rPr>
              <a:t>CPT	             PA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80F9D224-EA4E-ADC5-853A-61332FDD027A}"/>
              </a:ext>
            </a:extLst>
          </xdr:cNvPr>
          <xdr:cNvSpPr txBox="1"/>
        </xdr:nvSpPr>
        <xdr:spPr>
          <a:xfrm>
            <a:off x="10008054" y="72433542"/>
            <a:ext cx="2126416" cy="26936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>
                <a:latin typeface="Arial" panose="020B0604020202020204" pitchFamily="34" charset="0"/>
                <a:cs typeface="Arial" panose="020B0604020202020204" pitchFamily="34" charset="0"/>
              </a:rPr>
              <a:t>Acting, AC of S for C4IS,</a:t>
            </a:r>
            <a:r>
              <a:rPr lang="en-US" sz="1200" baseline="0">
                <a:latin typeface="Arial" panose="020B0604020202020204" pitchFamily="34" charset="0"/>
                <a:cs typeface="Arial" panose="020B0604020202020204" pitchFamily="34" charset="0"/>
              </a:rPr>
              <a:t> G6</a:t>
            </a:r>
            <a:endParaRPr lang="en-US" sz="12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861834</xdr:colOff>
      <xdr:row>299</xdr:row>
      <xdr:rowOff>138545</xdr:rowOff>
    </xdr:from>
    <xdr:to>
      <xdr:col>1</xdr:col>
      <xdr:colOff>3003041</xdr:colOff>
      <xdr:row>303</xdr:row>
      <xdr:rowOff>86157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7C2554B-90A9-40A6-8D1D-49D96D5FDE00}"/>
            </a:ext>
          </a:extLst>
        </xdr:cNvPr>
        <xdr:cNvGrpSpPr/>
      </xdr:nvGrpSpPr>
      <xdr:grpSpPr>
        <a:xfrm>
          <a:off x="861834" y="69603810"/>
          <a:ext cx="2141207" cy="754435"/>
          <a:chOff x="742950" y="71983146"/>
          <a:chExt cx="2115230" cy="735590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E609892-207E-3A04-CD14-4F628F300FF1}"/>
              </a:ext>
            </a:extLst>
          </xdr:cNvPr>
          <xdr:cNvSpPr txBox="1"/>
        </xdr:nvSpPr>
        <xdr:spPr>
          <a:xfrm>
            <a:off x="742950" y="71983146"/>
            <a:ext cx="2070888" cy="2988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400">
                <a:latin typeface="Arial" panose="020B0604020202020204" pitchFamily="34" charset="0"/>
                <a:cs typeface="Arial" panose="020B0604020202020204" pitchFamily="34" charset="0"/>
              </a:rPr>
              <a:t>John Danhill</a:t>
            </a:r>
            <a:r>
              <a:rPr lang="en-US" sz="1400" baseline="0">
                <a:latin typeface="Arial" panose="020B0604020202020204" pitchFamily="34" charset="0"/>
                <a:cs typeface="Arial" panose="020B0604020202020204" pitchFamily="34" charset="0"/>
              </a:rPr>
              <a:t> S Lacasad</a:t>
            </a:r>
            <a:endParaRPr lang="en-US" sz="14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2F80B769-271C-A7F5-4E12-D0F296BC674D}"/>
              </a:ext>
            </a:extLst>
          </xdr:cNvPr>
          <xdr:cNvSpPr txBox="1"/>
        </xdr:nvSpPr>
        <xdr:spPr>
          <a:xfrm>
            <a:off x="752475" y="72187256"/>
            <a:ext cx="2105705" cy="2571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400">
                <a:latin typeface="Arial" panose="020B0604020202020204" pitchFamily="34" charset="0"/>
                <a:cs typeface="Arial" panose="020B0604020202020204" pitchFamily="34" charset="0"/>
              </a:rPr>
              <a:t>SN2	</a:t>
            </a:r>
            <a:r>
              <a:rPr lang="en-US" sz="1400" baseline="0">
                <a:latin typeface="Arial" panose="020B0604020202020204" pitchFamily="34" charset="0"/>
                <a:cs typeface="Arial" panose="020B0604020202020204" pitchFamily="34" charset="0"/>
              </a:rPr>
              <a:t>               </a:t>
            </a:r>
            <a:r>
              <a:rPr lang="en-US" sz="1400">
                <a:latin typeface="Arial" panose="020B0604020202020204" pitchFamily="34" charset="0"/>
                <a:cs typeface="Arial" panose="020B0604020202020204" pitchFamily="34" charset="0"/>
              </a:rPr>
              <a:t>PN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F9C90AF3-8B2F-0B4F-5776-6C85F23839D9}"/>
              </a:ext>
            </a:extLst>
          </xdr:cNvPr>
          <xdr:cNvSpPr txBox="1"/>
        </xdr:nvSpPr>
        <xdr:spPr>
          <a:xfrm>
            <a:off x="771525" y="72419936"/>
            <a:ext cx="833049" cy="2988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400">
                <a:latin typeface="Arial" panose="020B0604020202020204" pitchFamily="34" charset="0"/>
                <a:cs typeface="Arial" panose="020B0604020202020204" pitchFamily="34" charset="0"/>
              </a:rPr>
              <a:t>RSNCO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50.60.177\Docs%20Public\Users\058\Desktop\SAMPLE%20C4S%20TEMPLAT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D_Source"/>
      <sheetName val="RECAP"/>
      <sheetName val="SUMMARY OF REDCON"/>
      <sheetName val="C4S iNVENTORY W_CODES"/>
      <sheetName val="Data Entry for C4S Inventory"/>
      <sheetName val="SC_Source"/>
      <sheetName val="HHC"/>
      <sheetName val="ESC"/>
      <sheetName val="551ECBn"/>
      <sheetName val="553CBn"/>
      <sheetName val="554ECBn"/>
      <sheetName val="500ECbtBn"/>
      <sheetName val="AVIATION"/>
      <sheetName val="Sheet1"/>
      <sheetName val="Sheet2"/>
      <sheetName val="Sheet3"/>
      <sheetName val="CORR EQPT 2ID"/>
      <sheetName val="CORR MAINT 2ID"/>
      <sheetName val="201Bde"/>
      <sheetName val="202Bde"/>
      <sheetName val="203Bde"/>
      <sheetName val="74IB"/>
      <sheetName val="85IB"/>
      <sheetName val="1IB"/>
      <sheetName val="2CMOBn"/>
      <sheetName val="HHSBn"/>
      <sheetName val="SSBn"/>
      <sheetName val="ASH"/>
      <sheetName val="2DTS"/>
      <sheetName val="72IB"/>
      <sheetName val="DROP DOWN LIST"/>
      <sheetName val="DISPOSITION"/>
      <sheetName val="NOMENCLATURE"/>
      <sheetName val="UNIT"/>
      <sheetName val="CATEGORY"/>
      <sheetName val="STATUS"/>
      <sheetName val="16IB"/>
      <sheetName val="4IB"/>
      <sheetName val="80IB"/>
      <sheetName val="76IB"/>
      <sheetName val="68IB"/>
      <sheetName val="92IB"/>
      <sheetName val="59IB"/>
      <sheetName val="21DRC"/>
      <sheetName val="22DRC"/>
      <sheetName val="23DRC"/>
      <sheetName val="2MIB"/>
    </sheetNames>
    <sheetDataSet>
      <sheetData sheetId="0" refreshError="1">
        <row r="2">
          <cell r="A2" t="str">
            <v xml:space="preserve">     a. Microwave </v>
          </cell>
        </row>
        <row r="3">
          <cell r="A3" t="str">
            <v>IP Radio</v>
          </cell>
        </row>
        <row r="4">
          <cell r="A4" t="str">
            <v>Terminal Access Point</v>
          </cell>
        </row>
        <row r="5">
          <cell r="A5" t="str">
            <v xml:space="preserve">     b. Telephone Switch Network</v>
          </cell>
        </row>
        <row r="6">
          <cell r="A6" t="str">
            <v>PABX / Switch Board - Small</v>
          </cell>
        </row>
        <row r="7">
          <cell r="A7" t="str">
            <v>PABX / Switch Board - Medium</v>
          </cell>
        </row>
        <row r="8">
          <cell r="A8" t="str">
            <v>PABX / Switch Board - Large</v>
          </cell>
        </row>
        <row r="9">
          <cell r="A9" t="str">
            <v>Telephone Sets</v>
          </cell>
        </row>
        <row r="10">
          <cell r="A10" t="str">
            <v xml:space="preserve">     a. HF (Base/Manpack)</v>
          </cell>
        </row>
        <row r="11">
          <cell r="A11" t="str">
            <v>HF 100-150W Base Radio</v>
          </cell>
        </row>
        <row r="12">
          <cell r="A12" t="str">
            <v>HF 20W Manpack Radio</v>
          </cell>
        </row>
        <row r="13">
          <cell r="A13" t="str">
            <v xml:space="preserve">     b. VHF/FM (Manpack / Handheld / Vehicular)</v>
          </cell>
        </row>
        <row r="14">
          <cell r="A14" t="str">
            <v>VHF 5-50W Vehicular Radio</v>
          </cell>
        </row>
        <row r="15">
          <cell r="A15" t="str">
            <v>VHF 2-10W Handheld Radio</v>
          </cell>
        </row>
        <row r="16">
          <cell r="A16" t="str">
            <v xml:space="preserve">     c. UHF/FM (Base /Handheld)</v>
          </cell>
        </row>
        <row r="17">
          <cell r="A17" t="str">
            <v>UHF/FM 40-100W Base Radio</v>
          </cell>
        </row>
        <row r="18">
          <cell r="A18" t="str">
            <v>UHF/FM 2-10W Handheld Radio</v>
          </cell>
        </row>
        <row r="19">
          <cell r="A19" t="str">
            <v xml:space="preserve">     d. MultiBand Radio (Manpack / Handheld)</v>
          </cell>
        </row>
        <row r="20">
          <cell r="A20" t="str">
            <v>VHF/UHF 10-20W Manpack Radio</v>
          </cell>
        </row>
        <row r="21">
          <cell r="A21" t="str">
            <v>VHF/UHF 2-5W Handheld Radio</v>
          </cell>
        </row>
        <row r="22">
          <cell r="A22" t="str">
            <v xml:space="preserve">     e. Radio Repeater System</v>
          </cell>
        </row>
        <row r="23">
          <cell r="A23" t="str">
            <v>VHF Repeater System</v>
          </cell>
        </row>
        <row r="24">
          <cell r="A24" t="str">
            <v>UHF/FM Repeater System</v>
          </cell>
        </row>
        <row r="25">
          <cell r="A25" t="str">
            <v xml:space="preserve">     a. Satellite Phone </v>
          </cell>
        </row>
        <row r="26">
          <cell r="A26" t="str">
            <v>Satellite Phone, Handheld</v>
          </cell>
        </row>
        <row r="27">
          <cell r="A27" t="str">
            <v>Base Type (HH w/ FDU)</v>
          </cell>
        </row>
        <row r="28">
          <cell r="A28" t="str">
            <v xml:space="preserve">  Very Small Aperture Terminal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opLeftCell="A10" workbookViewId="0">
      <selection activeCell="G22" sqref="G22"/>
    </sheetView>
  </sheetViews>
  <sheetFormatPr defaultColWidth="8.85546875" defaultRowHeight="15" x14ac:dyDescent="0.25"/>
  <cols>
    <col min="1" max="1" width="14.28515625" customWidth="1"/>
    <col min="2" max="2" width="58" customWidth="1"/>
    <col min="3" max="3" width="16" customWidth="1"/>
  </cols>
  <sheetData>
    <row r="1" spans="1:3" ht="16.5" thickBot="1" x14ac:dyDescent="0.3">
      <c r="A1" s="1"/>
      <c r="B1" s="2" t="s">
        <v>1</v>
      </c>
      <c r="C1" s="2" t="s">
        <v>2</v>
      </c>
    </row>
    <row r="2" spans="1:3" ht="16.5" thickBot="1" x14ac:dyDescent="0.3">
      <c r="A2" s="3">
        <v>1</v>
      </c>
      <c r="B2" s="4">
        <v>2</v>
      </c>
      <c r="C2" s="4">
        <v>3</v>
      </c>
    </row>
    <row r="3" spans="1:3" ht="16.5" thickBot="1" x14ac:dyDescent="0.3">
      <c r="A3" s="5"/>
      <c r="B3" s="6" t="s">
        <v>3</v>
      </c>
      <c r="C3" s="7"/>
    </row>
    <row r="4" spans="1:3" ht="16.5" thickBot="1" x14ac:dyDescent="0.3">
      <c r="A4" s="8"/>
      <c r="B4" s="4"/>
      <c r="C4" s="9"/>
    </row>
    <row r="5" spans="1:3" ht="16.5" thickBot="1" x14ac:dyDescent="0.3">
      <c r="A5" s="5"/>
      <c r="B5" s="10" t="s">
        <v>4</v>
      </c>
      <c r="C5" s="7"/>
    </row>
    <row r="6" spans="1:3" ht="15.75" thickBot="1" x14ac:dyDescent="0.3">
      <c r="A6" s="5"/>
      <c r="B6" s="11" t="s">
        <v>5</v>
      </c>
      <c r="C6" s="9">
        <v>30</v>
      </c>
    </row>
    <row r="7" spans="1:3" ht="15.75" thickBot="1" x14ac:dyDescent="0.3">
      <c r="A7" s="5"/>
      <c r="B7" s="11" t="s">
        <v>6</v>
      </c>
      <c r="C7" s="9">
        <v>56</v>
      </c>
    </row>
    <row r="8" spans="1:3" ht="16.5" thickBot="1" x14ac:dyDescent="0.3">
      <c r="A8" s="5"/>
      <c r="B8" s="10" t="s">
        <v>7</v>
      </c>
      <c r="C8" s="7"/>
    </row>
    <row r="9" spans="1:3" ht="16.5" thickBot="1" x14ac:dyDescent="0.3">
      <c r="A9" s="5"/>
      <c r="B9" s="10" t="s">
        <v>8</v>
      </c>
      <c r="C9" s="7"/>
    </row>
    <row r="10" spans="1:3" ht="16.5" thickBot="1" x14ac:dyDescent="0.3">
      <c r="A10" s="5"/>
      <c r="B10" s="13"/>
      <c r="C10" s="7"/>
    </row>
    <row r="11" spans="1:3" ht="16.5" thickBot="1" x14ac:dyDescent="0.3">
      <c r="A11" s="5"/>
      <c r="B11" s="14" t="s">
        <v>9</v>
      </c>
      <c r="C11" s="7"/>
    </row>
    <row r="12" spans="1:3" ht="16.5" thickBot="1" x14ac:dyDescent="0.3">
      <c r="A12" s="8"/>
      <c r="B12" s="15"/>
      <c r="C12" s="16"/>
    </row>
    <row r="13" spans="1:3" ht="15.75" thickBot="1" x14ac:dyDescent="0.3">
      <c r="A13" s="5"/>
      <c r="B13" s="11" t="s">
        <v>10</v>
      </c>
      <c r="C13" s="16">
        <v>10</v>
      </c>
    </row>
    <row r="14" spans="1:3" ht="15.75" thickBot="1" x14ac:dyDescent="0.3">
      <c r="A14" s="5"/>
      <c r="B14" s="11" t="s">
        <v>11</v>
      </c>
      <c r="C14" s="16">
        <v>6</v>
      </c>
    </row>
    <row r="15" spans="1:3" ht="16.5" thickBot="1" x14ac:dyDescent="0.3">
      <c r="A15" s="5"/>
      <c r="B15" s="6" t="s">
        <v>12</v>
      </c>
      <c r="C15" s="7"/>
    </row>
    <row r="16" spans="1:3" ht="16.5" thickBot="1" x14ac:dyDescent="0.3">
      <c r="A16" s="5"/>
      <c r="B16" s="7"/>
      <c r="C16" s="7"/>
    </row>
    <row r="17" spans="1:3" ht="16.5" thickBot="1" x14ac:dyDescent="0.3">
      <c r="A17" s="5"/>
      <c r="B17" s="17" t="s">
        <v>13</v>
      </c>
      <c r="C17" s="7"/>
    </row>
    <row r="18" spans="1:3" ht="16.5" thickBot="1" x14ac:dyDescent="0.3">
      <c r="A18" s="5"/>
      <c r="B18" s="11" t="s">
        <v>14</v>
      </c>
      <c r="C18" s="7"/>
    </row>
    <row r="19" spans="1:3" ht="15.75" thickBot="1" x14ac:dyDescent="0.3">
      <c r="A19" s="5"/>
      <c r="B19" s="11" t="s">
        <v>15</v>
      </c>
      <c r="C19" s="9">
        <v>9</v>
      </c>
    </row>
    <row r="20" spans="1:3" ht="16.5" thickBot="1" x14ac:dyDescent="0.3">
      <c r="A20" s="5"/>
      <c r="B20" s="11" t="s">
        <v>16</v>
      </c>
      <c r="C20" s="7"/>
    </row>
    <row r="21" spans="1:3" ht="16.5" thickBot="1" x14ac:dyDescent="0.3">
      <c r="A21" s="5"/>
      <c r="B21" s="11" t="s">
        <v>17</v>
      </c>
      <c r="C21" s="7"/>
    </row>
    <row r="22" spans="1:3" ht="16.5" thickBot="1" x14ac:dyDescent="0.3">
      <c r="A22" s="5"/>
      <c r="B22" s="11" t="s">
        <v>18</v>
      </c>
      <c r="C22" s="7"/>
    </row>
    <row r="23" spans="1:3" ht="16.5" thickBot="1" x14ac:dyDescent="0.3">
      <c r="A23" s="5"/>
      <c r="B23" s="11" t="s">
        <v>19</v>
      </c>
      <c r="C23" s="7"/>
    </row>
    <row r="24" spans="1:3" ht="15.75" thickBot="1" x14ac:dyDescent="0.3">
      <c r="A24" s="5"/>
      <c r="B24" s="11" t="s">
        <v>20</v>
      </c>
      <c r="C24" s="9">
        <v>25</v>
      </c>
    </row>
    <row r="25" spans="1:3" ht="15.75" thickBot="1" x14ac:dyDescent="0.3">
      <c r="A25" s="5"/>
      <c r="B25" s="11" t="s">
        <v>21</v>
      </c>
      <c r="C25" s="9">
        <v>3</v>
      </c>
    </row>
    <row r="26" spans="1:3" ht="16.5" thickBot="1" x14ac:dyDescent="0.3">
      <c r="A26" s="5"/>
      <c r="B26" s="17" t="s">
        <v>22</v>
      </c>
      <c r="C26" s="7"/>
    </row>
    <row r="27" spans="1:3" ht="16.5" thickBot="1" x14ac:dyDescent="0.3">
      <c r="A27" s="5"/>
      <c r="B27" s="17" t="s">
        <v>23</v>
      </c>
      <c r="C27" s="7"/>
    </row>
    <row r="28" spans="1:3" ht="16.5" thickBot="1" x14ac:dyDescent="0.3">
      <c r="A28" s="5"/>
      <c r="B28" s="18" t="s">
        <v>24</v>
      </c>
      <c r="C28" s="7"/>
    </row>
    <row r="29" spans="1:3" ht="16.5" thickBot="1" x14ac:dyDescent="0.3">
      <c r="A29" s="5"/>
      <c r="B29" s="17" t="s">
        <v>25</v>
      </c>
      <c r="C29" s="7"/>
    </row>
    <row r="30" spans="1:3" ht="16.5" thickBot="1" x14ac:dyDescent="0.3">
      <c r="A30" s="5"/>
      <c r="B30" s="17" t="s">
        <v>26</v>
      </c>
      <c r="C30" s="7"/>
    </row>
    <row r="31" spans="1:3" ht="16.5" thickBot="1" x14ac:dyDescent="0.3">
      <c r="A31" s="8"/>
      <c r="B31" s="17" t="s">
        <v>27</v>
      </c>
      <c r="C31" s="9"/>
    </row>
    <row r="32" spans="1:3" ht="16.5" thickBot="1" x14ac:dyDescent="0.3">
      <c r="A32" s="8"/>
      <c r="B32" s="17" t="s">
        <v>28</v>
      </c>
      <c r="C32" s="9"/>
    </row>
    <row r="33" spans="1:3" ht="16.5" thickBot="1" x14ac:dyDescent="0.3">
      <c r="A33" s="8"/>
      <c r="B33" s="17" t="s">
        <v>29</v>
      </c>
      <c r="C33" s="9"/>
    </row>
    <row r="34" spans="1:3" ht="15.75" thickBot="1" x14ac:dyDescent="0.3">
      <c r="A34" s="8"/>
      <c r="B34" s="12" t="s">
        <v>30</v>
      </c>
      <c r="C34" s="9">
        <v>3</v>
      </c>
    </row>
    <row r="35" spans="1:3" ht="15.75" thickBot="1" x14ac:dyDescent="0.3">
      <c r="A35" s="5"/>
      <c r="B35" s="12" t="s">
        <v>31</v>
      </c>
      <c r="C35" s="9">
        <v>2</v>
      </c>
    </row>
    <row r="36" spans="1:3" ht="15.75" thickBot="1" x14ac:dyDescent="0.3">
      <c r="A36" s="8"/>
      <c r="B36" s="12" t="s">
        <v>32</v>
      </c>
      <c r="C36" s="9">
        <v>1</v>
      </c>
    </row>
    <row r="37" spans="1:3" ht="15.75" thickBot="1" x14ac:dyDescent="0.3">
      <c r="A37" s="19"/>
      <c r="B37" s="12" t="s">
        <v>33</v>
      </c>
      <c r="C37" s="9">
        <v>15</v>
      </c>
    </row>
    <row r="38" spans="1:3" ht="15.75" thickBot="1" x14ac:dyDescent="0.3">
      <c r="A38" s="8"/>
      <c r="B38" s="12" t="s">
        <v>34</v>
      </c>
      <c r="C38" s="9">
        <v>1</v>
      </c>
    </row>
    <row r="39" spans="1:3" ht="15.75" thickBot="1" x14ac:dyDescent="0.3">
      <c r="A39" s="8"/>
      <c r="B39" s="12" t="s">
        <v>35</v>
      </c>
      <c r="C39" s="9">
        <v>3</v>
      </c>
    </row>
    <row r="40" spans="1:3" ht="15.75" thickBot="1" x14ac:dyDescent="0.3">
      <c r="A40" s="8"/>
      <c r="B40" s="12" t="s">
        <v>36</v>
      </c>
      <c r="C40" s="9">
        <v>1</v>
      </c>
    </row>
    <row r="41" spans="1:3" ht="15.75" thickBot="1" x14ac:dyDescent="0.3">
      <c r="A41" s="8"/>
      <c r="B41" s="12" t="s">
        <v>37</v>
      </c>
      <c r="C41" s="9">
        <v>2</v>
      </c>
    </row>
    <row r="42" spans="1:3" ht="15.75" thickBot="1" x14ac:dyDescent="0.3">
      <c r="A42" s="8"/>
      <c r="B42" s="12" t="s">
        <v>38</v>
      </c>
      <c r="C42" s="9">
        <v>1</v>
      </c>
    </row>
    <row r="43" spans="1:3" ht="15.75" thickBot="1" x14ac:dyDescent="0.3">
      <c r="A43" s="8"/>
      <c r="B43" s="12" t="s">
        <v>39</v>
      </c>
      <c r="C43" s="9">
        <v>6</v>
      </c>
    </row>
    <row r="44" spans="1:3" ht="15.75" thickBot="1" x14ac:dyDescent="0.3">
      <c r="A44" s="8"/>
      <c r="B44" s="12" t="s">
        <v>40</v>
      </c>
      <c r="C44" s="9">
        <v>1</v>
      </c>
    </row>
    <row r="45" spans="1:3" ht="15.75" thickBot="1" x14ac:dyDescent="0.3">
      <c r="A45" s="19"/>
      <c r="B45" s="12" t="s">
        <v>41</v>
      </c>
      <c r="C45" s="9">
        <v>1</v>
      </c>
    </row>
    <row r="46" spans="1:3" ht="15.75" x14ac:dyDescent="0.25">
      <c r="A46" s="20"/>
    </row>
    <row r="47" spans="1:3" ht="15.75" x14ac:dyDescent="0.25">
      <c r="A47" s="20"/>
    </row>
    <row r="48" spans="1:3" ht="15.75" x14ac:dyDescent="0.25">
      <c r="A48" s="20"/>
    </row>
    <row r="49" spans="1:1" ht="15.75" x14ac:dyDescent="0.25">
      <c r="A49" s="20"/>
    </row>
    <row r="50" spans="1:1" ht="15.75" x14ac:dyDescent="0.25">
      <c r="A50" s="20"/>
    </row>
    <row r="51" spans="1:1" ht="15.75" x14ac:dyDescent="0.25">
      <c r="A51" s="20"/>
    </row>
    <row r="52" spans="1:1" ht="15.75" x14ac:dyDescent="0.25">
      <c r="A52" s="20"/>
    </row>
    <row r="53" spans="1:1" ht="15.75" x14ac:dyDescent="0.25">
      <c r="A53" s="20"/>
    </row>
    <row r="54" spans="1:1" ht="15.75" x14ac:dyDescent="0.25">
      <c r="A54" s="20"/>
    </row>
    <row r="55" spans="1:1" ht="15.75" x14ac:dyDescent="0.25">
      <c r="A55" s="20"/>
    </row>
    <row r="56" spans="1:1" ht="15.75" x14ac:dyDescent="0.25">
      <c r="A56" s="20"/>
    </row>
    <row r="57" spans="1:1" ht="15.75" x14ac:dyDescent="0.25">
      <c r="A57" s="20"/>
    </row>
    <row r="58" spans="1:1" ht="15.75" x14ac:dyDescent="0.25">
      <c r="A58" s="20"/>
    </row>
    <row r="59" spans="1:1" ht="15.75" x14ac:dyDescent="0.25">
      <c r="A59" s="20"/>
    </row>
    <row r="60" spans="1:1" ht="15.75" x14ac:dyDescent="0.25">
      <c r="A60" s="20"/>
    </row>
    <row r="61" spans="1:1" ht="15.75" x14ac:dyDescent="0.25">
      <c r="A61" s="20"/>
    </row>
    <row r="62" spans="1:1" ht="15.75" x14ac:dyDescent="0.25">
      <c r="A62" s="20"/>
    </row>
    <row r="63" spans="1:1" ht="15.75" x14ac:dyDescent="0.25">
      <c r="A63" s="20"/>
    </row>
    <row r="64" spans="1:1" ht="15.75" x14ac:dyDescent="0.25">
      <c r="A64" s="20"/>
    </row>
    <row r="65" spans="1:1" ht="15.75" x14ac:dyDescent="0.25">
      <c r="A65" s="20"/>
    </row>
    <row r="66" spans="1:1" ht="15.75" x14ac:dyDescent="0.25">
      <c r="A66" s="20"/>
    </row>
    <row r="67" spans="1:1" ht="15.75" x14ac:dyDescent="0.25">
      <c r="A67" s="20"/>
    </row>
    <row r="68" spans="1:1" ht="15.75" x14ac:dyDescent="0.25">
      <c r="A68" s="20"/>
    </row>
    <row r="69" spans="1:1" ht="15.75" x14ac:dyDescent="0.25">
      <c r="A69" s="20"/>
    </row>
    <row r="70" spans="1:1" ht="15.75" x14ac:dyDescent="0.25">
      <c r="A70" s="20"/>
    </row>
    <row r="71" spans="1:1" ht="15.75" x14ac:dyDescent="0.25">
      <c r="A71" s="20"/>
    </row>
    <row r="72" spans="1:1" ht="15.75" x14ac:dyDescent="0.25">
      <c r="A72" s="20"/>
    </row>
    <row r="73" spans="1:1" ht="15.75" x14ac:dyDescent="0.25">
      <c r="A73" s="20"/>
    </row>
    <row r="74" spans="1:1" ht="15.75" x14ac:dyDescent="0.25">
      <c r="A74" s="20"/>
    </row>
    <row r="75" spans="1:1" ht="15.75" x14ac:dyDescent="0.25">
      <c r="A75" s="20"/>
    </row>
    <row r="76" spans="1:1" ht="15.75" x14ac:dyDescent="0.25">
      <c r="A76" s="20"/>
    </row>
    <row r="77" spans="1:1" ht="15.75" x14ac:dyDescent="0.25">
      <c r="A77" s="20"/>
    </row>
    <row r="78" spans="1:1" ht="15.75" x14ac:dyDescent="0.25">
      <c r="A78" s="20"/>
    </row>
    <row r="79" spans="1:1" ht="15.75" x14ac:dyDescent="0.25">
      <c r="A79" s="20"/>
    </row>
    <row r="80" spans="1:1" ht="15.75" x14ac:dyDescent="0.25">
      <c r="A80" s="20"/>
    </row>
    <row r="81" spans="1:3" ht="15.75" x14ac:dyDescent="0.25">
      <c r="A81" s="20"/>
    </row>
    <row r="82" spans="1:3" ht="15.75" x14ac:dyDescent="0.25">
      <c r="A82" s="20"/>
    </row>
    <row r="83" spans="1:3" ht="15.75" x14ac:dyDescent="0.25">
      <c r="A83" s="20"/>
    </row>
    <row r="84" spans="1:3" ht="15.75" x14ac:dyDescent="0.25">
      <c r="A84" s="20"/>
    </row>
    <row r="85" spans="1:3" ht="15.75" x14ac:dyDescent="0.25">
      <c r="A85" s="20"/>
    </row>
    <row r="86" spans="1:3" ht="15.75" x14ac:dyDescent="0.25">
      <c r="A86" s="20"/>
    </row>
    <row r="87" spans="1:3" ht="15.75" x14ac:dyDescent="0.25">
      <c r="A87" s="20" t="s">
        <v>42</v>
      </c>
    </row>
    <row r="88" spans="1:3" ht="15.75" x14ac:dyDescent="0.25">
      <c r="A88" s="20" t="s">
        <v>43</v>
      </c>
    </row>
    <row r="89" spans="1:3" ht="15.75" x14ac:dyDescent="0.25">
      <c r="A89" s="20" t="s">
        <v>44</v>
      </c>
    </row>
    <row r="90" spans="1:3" ht="15.75" x14ac:dyDescent="0.25">
      <c r="A90" s="20" t="s">
        <v>45</v>
      </c>
    </row>
    <row r="91" spans="1:3" ht="16.5" thickBot="1" x14ac:dyDescent="0.3">
      <c r="A91" s="20"/>
    </row>
    <row r="92" spans="1:3" ht="16.5" thickBot="1" x14ac:dyDescent="0.3">
      <c r="A92" s="1" t="s">
        <v>0</v>
      </c>
      <c r="B92" s="2" t="s">
        <v>1</v>
      </c>
      <c r="C92" s="21" t="s">
        <v>2</v>
      </c>
    </row>
    <row r="93" spans="1:3" ht="16.5" thickBot="1" x14ac:dyDescent="0.3">
      <c r="A93" s="22">
        <v>1</v>
      </c>
      <c r="B93" s="15">
        <v>2</v>
      </c>
      <c r="C93" s="15">
        <v>3</v>
      </c>
    </row>
    <row r="94" spans="1:3" ht="16.5" thickBot="1" x14ac:dyDescent="0.3">
      <c r="A94" s="23"/>
      <c r="B94" s="24" t="s">
        <v>46</v>
      </c>
      <c r="C94" s="11"/>
    </row>
    <row r="95" spans="1:3" ht="16.5" thickBot="1" x14ac:dyDescent="0.3">
      <c r="A95" s="23"/>
      <c r="B95" s="25"/>
      <c r="C95" s="11"/>
    </row>
    <row r="96" spans="1:3" ht="15.75" thickBot="1" x14ac:dyDescent="0.3">
      <c r="A96" s="23"/>
      <c r="B96" s="12" t="s">
        <v>47</v>
      </c>
      <c r="C96" s="9">
        <v>16</v>
      </c>
    </row>
    <row r="97" spans="1:3" ht="15.75" thickBot="1" x14ac:dyDescent="0.3">
      <c r="A97" s="23"/>
      <c r="B97" s="12" t="s">
        <v>48</v>
      </c>
      <c r="C97" s="9">
        <v>2</v>
      </c>
    </row>
    <row r="98" spans="1:3" ht="15.75" thickBot="1" x14ac:dyDescent="0.3">
      <c r="A98" s="23"/>
      <c r="B98" s="12" t="s">
        <v>49</v>
      </c>
      <c r="C98" s="9">
        <v>1</v>
      </c>
    </row>
    <row r="99" spans="1:3" ht="15.75" thickBot="1" x14ac:dyDescent="0.3">
      <c r="A99" s="23"/>
      <c r="B99" s="12" t="s">
        <v>50</v>
      </c>
      <c r="C99" s="9">
        <v>3</v>
      </c>
    </row>
    <row r="100" spans="1:3" ht="15.75" thickBot="1" x14ac:dyDescent="0.3">
      <c r="A100" s="23"/>
      <c r="B100" s="12" t="s">
        <v>51</v>
      </c>
      <c r="C100" s="9">
        <v>1</v>
      </c>
    </row>
    <row r="101" spans="1:3" ht="15.75" thickBot="1" x14ac:dyDescent="0.3">
      <c r="A101" s="26"/>
      <c r="B101" s="12" t="s">
        <v>52</v>
      </c>
      <c r="C101" s="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6FBF-8C6A-420B-88FA-3D99FA437512}">
  <dimension ref="A1:R630"/>
  <sheetViews>
    <sheetView showGridLines="0" tabSelected="1" view="pageBreakPreview" topLeftCell="B1" zoomScale="85" zoomScaleNormal="72" zoomScaleSheetLayoutView="85" workbookViewId="0">
      <pane xSplit="8" ySplit="5" topLeftCell="K271" activePane="bottomRight" state="frozen"/>
      <selection activeCell="B1" sqref="B1"/>
      <selection pane="topRight" activeCell="J1" sqref="J1"/>
      <selection pane="bottomLeft" activeCell="B6" sqref="B6"/>
      <selection pane="bottomRight" activeCell="F247" sqref="F247"/>
    </sheetView>
  </sheetViews>
  <sheetFormatPr defaultColWidth="8.85546875" defaultRowHeight="15.75" x14ac:dyDescent="0.25"/>
  <cols>
    <col min="1" max="1" width="10" style="30" hidden="1" customWidth="1"/>
    <col min="2" max="2" width="85.85546875" style="30" customWidth="1"/>
    <col min="3" max="3" width="12.85546875" style="93" customWidth="1"/>
    <col min="4" max="4" width="14.42578125" style="94" customWidth="1"/>
    <col min="5" max="5" width="11.85546875" style="95" customWidth="1"/>
    <col min="6" max="6" width="13.28515625" style="95" customWidth="1"/>
    <col min="7" max="7" width="13.28515625" style="77" customWidth="1"/>
    <col min="8" max="8" width="14.85546875" customWidth="1"/>
    <col min="9" max="9" width="16.5703125" customWidth="1"/>
    <col min="10" max="10" width="8.85546875" style="32" customWidth="1"/>
    <col min="11" max="11" width="29" bestFit="1" customWidth="1"/>
    <col min="12" max="12" width="18.28515625" bestFit="1" customWidth="1"/>
    <col min="13" max="13" width="14.28515625" bestFit="1" customWidth="1"/>
    <col min="14" max="14" width="12.85546875" bestFit="1" customWidth="1"/>
    <col min="15" max="15" width="19.28515625" bestFit="1" customWidth="1"/>
    <col min="16" max="16" width="11" bestFit="1" customWidth="1"/>
    <col min="17" max="17" width="13.7109375" customWidth="1"/>
    <col min="18" max="18" width="19.42578125" customWidth="1"/>
  </cols>
  <sheetData>
    <row r="1" spans="1:18" ht="27.95" customHeight="1" x14ac:dyDescent="0.25">
      <c r="A1" s="146" t="s">
        <v>239</v>
      </c>
      <c r="B1" s="146"/>
      <c r="C1" s="146"/>
      <c r="D1" s="146"/>
      <c r="E1" s="146"/>
      <c r="F1" s="146"/>
      <c r="G1" s="146"/>
      <c r="H1" s="146"/>
      <c r="I1" s="146"/>
    </row>
    <row r="2" spans="1:18" ht="23.25" x14ac:dyDescent="0.25">
      <c r="A2" s="99"/>
      <c r="B2" s="67" t="s">
        <v>267</v>
      </c>
      <c r="C2" s="68"/>
      <c r="D2" s="68"/>
      <c r="E2" s="68"/>
      <c r="F2" s="68"/>
      <c r="G2" s="68"/>
      <c r="H2" s="99"/>
      <c r="I2" s="99"/>
    </row>
    <row r="3" spans="1:18" ht="23.25" x14ac:dyDescent="0.25">
      <c r="A3" s="99"/>
      <c r="B3" s="67" t="s">
        <v>268</v>
      </c>
      <c r="C3" s="68"/>
      <c r="D3" s="68"/>
      <c r="E3" s="68"/>
      <c r="F3" s="68"/>
      <c r="G3" s="68"/>
      <c r="H3" s="99"/>
      <c r="I3" s="99"/>
    </row>
    <row r="4" spans="1:18" s="27" customFormat="1" ht="30" x14ac:dyDescent="0.25">
      <c r="A4" s="31" t="s">
        <v>53</v>
      </c>
      <c r="B4" s="147" t="s">
        <v>225</v>
      </c>
      <c r="C4" s="148" t="s">
        <v>224</v>
      </c>
      <c r="D4" s="145" t="s">
        <v>238</v>
      </c>
      <c r="E4" s="145"/>
      <c r="F4" s="145"/>
      <c r="G4" s="148" t="s">
        <v>226</v>
      </c>
      <c r="H4" s="145" t="s">
        <v>227</v>
      </c>
      <c r="I4" s="145" t="s">
        <v>228</v>
      </c>
      <c r="J4" s="52"/>
      <c r="K4" s="147" t="s">
        <v>255</v>
      </c>
      <c r="L4" s="148" t="s">
        <v>224</v>
      </c>
      <c r="M4" s="145" t="s">
        <v>238</v>
      </c>
      <c r="N4" s="145"/>
      <c r="O4" s="145"/>
      <c r="P4" s="148" t="s">
        <v>226</v>
      </c>
      <c r="Q4" s="145" t="s">
        <v>227</v>
      </c>
      <c r="R4" s="145" t="s">
        <v>228</v>
      </c>
    </row>
    <row r="5" spans="1:18" ht="31.5" customHeight="1" x14ac:dyDescent="0.25">
      <c r="A5" s="29">
        <v>1</v>
      </c>
      <c r="B5" s="147"/>
      <c r="C5" s="148"/>
      <c r="D5" s="69" t="s">
        <v>232</v>
      </c>
      <c r="E5" s="72" t="s">
        <v>230</v>
      </c>
      <c r="F5" s="73" t="s">
        <v>231</v>
      </c>
      <c r="G5" s="148"/>
      <c r="H5" s="145" t="s">
        <v>229</v>
      </c>
      <c r="I5" s="145"/>
      <c r="K5" s="147"/>
      <c r="L5" s="148"/>
      <c r="M5" s="69" t="s">
        <v>232</v>
      </c>
      <c r="N5" s="72" t="s">
        <v>230</v>
      </c>
      <c r="O5" s="73" t="s">
        <v>231</v>
      </c>
      <c r="P5" s="148"/>
      <c r="Q5" s="145" t="s">
        <v>229</v>
      </c>
      <c r="R5" s="145"/>
    </row>
    <row r="6" spans="1:18" x14ac:dyDescent="0.25">
      <c r="A6" s="28"/>
      <c r="B6" s="65"/>
      <c r="C6" s="85"/>
      <c r="D6" s="86"/>
      <c r="E6" s="87"/>
      <c r="F6" s="87"/>
      <c r="G6" s="74"/>
      <c r="H6" s="66"/>
      <c r="I6" s="66"/>
      <c r="K6" s="144"/>
      <c r="L6" s="144"/>
      <c r="M6" s="144"/>
      <c r="N6" s="144"/>
      <c r="O6" s="144"/>
      <c r="P6" s="142" t="str">
        <f t="shared" ref="P6:P20" si="0">IF(OR(M6="",N6="",O6="")," ",M6+N6+O6)</f>
        <v xml:space="preserve"> </v>
      </c>
      <c r="Q6" s="143" t="str">
        <f t="shared" ref="Q6:Q20" si="1">IFERROR(MIN(1,P6/L6),"")</f>
        <v/>
      </c>
      <c r="R6" s="143" t="str">
        <f t="shared" ref="R6:R20" si="2">IF(OR(L6=0),"",IFERROR(MIN(1,M6/P6),""))</f>
        <v/>
      </c>
    </row>
    <row r="7" spans="1:18" x14ac:dyDescent="0.25">
      <c r="A7" s="28"/>
      <c r="B7" s="101" t="s">
        <v>103</v>
      </c>
      <c r="C7" s="128">
        <f>SUM(C8,C24,C84,C92)</f>
        <v>0</v>
      </c>
      <c r="D7" s="128">
        <f t="shared" ref="D7:G7" si="3">SUM(D8,D24,D84,D92)</f>
        <v>0</v>
      </c>
      <c r="E7" s="128">
        <f t="shared" si="3"/>
        <v>0</v>
      </c>
      <c r="F7" s="128">
        <f t="shared" si="3"/>
        <v>0</v>
      </c>
      <c r="G7" s="102">
        <f t="shared" si="3"/>
        <v>0</v>
      </c>
      <c r="H7" s="101"/>
      <c r="I7" s="101"/>
      <c r="K7" s="144"/>
      <c r="L7" s="144"/>
      <c r="M7" s="144"/>
      <c r="N7" s="144"/>
      <c r="O7" s="144"/>
      <c r="P7" s="142" t="str">
        <f t="shared" si="0"/>
        <v xml:space="preserve"> </v>
      </c>
      <c r="Q7" s="143" t="str">
        <f t="shared" si="1"/>
        <v/>
      </c>
      <c r="R7" s="143" t="str">
        <f t="shared" si="2"/>
        <v/>
      </c>
    </row>
    <row r="8" spans="1:18" x14ac:dyDescent="0.25">
      <c r="A8" s="28"/>
      <c r="B8" s="98" t="s">
        <v>104</v>
      </c>
      <c r="C8" s="129">
        <f>SUM(C9:C20)</f>
        <v>0</v>
      </c>
      <c r="D8" s="129">
        <f t="shared" ref="D8:G8" si="4">SUM(D9:D20)</f>
        <v>0</v>
      </c>
      <c r="E8" s="129">
        <f t="shared" si="4"/>
        <v>0</v>
      </c>
      <c r="F8" s="129">
        <f t="shared" si="4"/>
        <v>0</v>
      </c>
      <c r="G8" s="103">
        <f t="shared" si="4"/>
        <v>0</v>
      </c>
      <c r="H8" s="104"/>
      <c r="I8" s="104"/>
      <c r="K8" s="144"/>
      <c r="L8" s="144"/>
      <c r="M8" s="144"/>
      <c r="N8" s="144"/>
      <c r="O8" s="144"/>
      <c r="P8" s="142" t="str">
        <f t="shared" si="0"/>
        <v xml:space="preserve"> </v>
      </c>
      <c r="Q8" s="143" t="str">
        <f t="shared" si="1"/>
        <v/>
      </c>
      <c r="R8" s="143" t="str">
        <f t="shared" si="2"/>
        <v/>
      </c>
    </row>
    <row r="9" spans="1:18" ht="18" x14ac:dyDescent="0.25">
      <c r="A9" s="28"/>
      <c r="B9" s="39" t="s">
        <v>72</v>
      </c>
      <c r="C9" s="130">
        <v>0</v>
      </c>
      <c r="D9" s="130">
        <v>0</v>
      </c>
      <c r="E9" s="130">
        <v>0</v>
      </c>
      <c r="F9" s="130">
        <v>0</v>
      </c>
      <c r="G9" s="78">
        <f t="shared" ref="G9:G16" si="5">IF(OR(D9="",E9="",F9="")," ",D9+E9+F9)</f>
        <v>0</v>
      </c>
      <c r="H9" s="105" t="str">
        <f t="shared" ref="H9:H16" si="6">IFERROR(MIN(1,G9/C9),"")</f>
        <v/>
      </c>
      <c r="I9" s="106" t="str">
        <f t="shared" ref="I9:I20" si="7">IF(OR(C9=0),"",IFERROR(MIN(1,D9/G9),""))</f>
        <v/>
      </c>
      <c r="K9" s="144"/>
      <c r="L9" s="144"/>
      <c r="M9" s="144"/>
      <c r="N9" s="144"/>
      <c r="O9" s="144"/>
      <c r="P9" s="142" t="str">
        <f t="shared" si="0"/>
        <v xml:space="preserve"> </v>
      </c>
      <c r="Q9" s="143" t="str">
        <f t="shared" si="1"/>
        <v/>
      </c>
      <c r="R9" s="143" t="str">
        <f t="shared" si="2"/>
        <v/>
      </c>
    </row>
    <row r="10" spans="1:18" ht="18" x14ac:dyDescent="0.25">
      <c r="A10" s="28"/>
      <c r="B10" s="39" t="s">
        <v>180</v>
      </c>
      <c r="C10" s="130">
        <v>0</v>
      </c>
      <c r="D10" s="130">
        <v>0</v>
      </c>
      <c r="E10" s="130">
        <v>0</v>
      </c>
      <c r="F10" s="130">
        <v>0</v>
      </c>
      <c r="G10" s="78">
        <f t="shared" si="5"/>
        <v>0</v>
      </c>
      <c r="H10" s="105" t="str">
        <f t="shared" si="6"/>
        <v/>
      </c>
      <c r="I10" s="106" t="str">
        <f t="shared" si="7"/>
        <v/>
      </c>
      <c r="K10" s="144"/>
      <c r="L10" s="144"/>
      <c r="M10" s="144"/>
      <c r="N10" s="144"/>
      <c r="O10" s="144"/>
      <c r="P10" s="142" t="str">
        <f t="shared" si="0"/>
        <v xml:space="preserve"> </v>
      </c>
      <c r="Q10" s="143" t="str">
        <f t="shared" si="1"/>
        <v/>
      </c>
      <c r="R10" s="143" t="str">
        <f t="shared" si="2"/>
        <v/>
      </c>
    </row>
    <row r="11" spans="1:18" ht="18" x14ac:dyDescent="0.25">
      <c r="A11" s="28"/>
      <c r="B11" s="39" t="s">
        <v>100</v>
      </c>
      <c r="C11" s="130">
        <v>0</v>
      </c>
      <c r="D11" s="130">
        <v>0</v>
      </c>
      <c r="E11" s="130">
        <v>0</v>
      </c>
      <c r="F11" s="130">
        <v>0</v>
      </c>
      <c r="G11" s="78">
        <f t="shared" si="5"/>
        <v>0</v>
      </c>
      <c r="H11" s="105" t="str">
        <f t="shared" si="6"/>
        <v/>
      </c>
      <c r="I11" s="106" t="str">
        <f t="shared" si="7"/>
        <v/>
      </c>
      <c r="K11" s="144"/>
      <c r="L11" s="144"/>
      <c r="M11" s="144"/>
      <c r="N11" s="144"/>
      <c r="O11" s="144"/>
      <c r="P11" s="142" t="str">
        <f t="shared" si="0"/>
        <v xml:space="preserve"> </v>
      </c>
      <c r="Q11" s="143" t="str">
        <f t="shared" si="1"/>
        <v/>
      </c>
      <c r="R11" s="143" t="str">
        <f t="shared" si="2"/>
        <v/>
      </c>
    </row>
    <row r="12" spans="1:18" ht="18" x14ac:dyDescent="0.25">
      <c r="A12" s="28"/>
      <c r="B12" s="39" t="s">
        <v>73</v>
      </c>
      <c r="C12" s="130">
        <v>0</v>
      </c>
      <c r="D12" s="130">
        <v>0</v>
      </c>
      <c r="E12" s="130">
        <v>0</v>
      </c>
      <c r="F12" s="130">
        <v>0</v>
      </c>
      <c r="G12" s="78">
        <f t="shared" si="5"/>
        <v>0</v>
      </c>
      <c r="H12" s="105" t="str">
        <f t="shared" si="6"/>
        <v/>
      </c>
      <c r="I12" s="106" t="str">
        <f t="shared" si="7"/>
        <v/>
      </c>
      <c r="K12" s="144"/>
      <c r="L12" s="144"/>
      <c r="M12" s="144"/>
      <c r="N12" s="144"/>
      <c r="O12" s="144"/>
      <c r="P12" s="142" t="str">
        <f t="shared" si="0"/>
        <v xml:space="preserve"> </v>
      </c>
      <c r="Q12" s="143" t="str">
        <f t="shared" si="1"/>
        <v/>
      </c>
      <c r="R12" s="143" t="str">
        <f t="shared" si="2"/>
        <v/>
      </c>
    </row>
    <row r="13" spans="1:18" ht="18" x14ac:dyDescent="0.25">
      <c r="A13" s="28"/>
      <c r="B13" s="39" t="s">
        <v>105</v>
      </c>
      <c r="C13" s="130">
        <v>0</v>
      </c>
      <c r="D13" s="130">
        <v>0</v>
      </c>
      <c r="E13" s="130">
        <v>0</v>
      </c>
      <c r="F13" s="130">
        <v>0</v>
      </c>
      <c r="G13" s="78">
        <f t="shared" si="5"/>
        <v>0</v>
      </c>
      <c r="H13" s="105" t="str">
        <f t="shared" si="6"/>
        <v/>
      </c>
      <c r="I13" s="106" t="str">
        <f t="shared" si="7"/>
        <v/>
      </c>
      <c r="K13" s="144"/>
      <c r="L13" s="144"/>
      <c r="M13" s="144"/>
      <c r="N13" s="144"/>
      <c r="O13" s="144"/>
      <c r="P13" s="142" t="str">
        <f t="shared" si="0"/>
        <v xml:space="preserve"> </v>
      </c>
      <c r="Q13" s="143" t="str">
        <f t="shared" si="1"/>
        <v/>
      </c>
      <c r="R13" s="143" t="str">
        <f t="shared" si="2"/>
        <v/>
      </c>
    </row>
    <row r="14" spans="1:18" ht="18" x14ac:dyDescent="0.25">
      <c r="A14" s="28"/>
      <c r="B14" s="39" t="s">
        <v>106</v>
      </c>
      <c r="C14" s="130">
        <v>0</v>
      </c>
      <c r="D14" s="130">
        <v>0</v>
      </c>
      <c r="E14" s="130">
        <v>0</v>
      </c>
      <c r="F14" s="130">
        <v>0</v>
      </c>
      <c r="G14" s="78">
        <f t="shared" si="5"/>
        <v>0</v>
      </c>
      <c r="H14" s="105" t="str">
        <f t="shared" si="6"/>
        <v/>
      </c>
      <c r="I14" s="106" t="str">
        <f t="shared" si="7"/>
        <v/>
      </c>
      <c r="K14" s="144"/>
      <c r="L14" s="144"/>
      <c r="M14" s="144"/>
      <c r="N14" s="144"/>
      <c r="O14" s="144"/>
      <c r="P14" s="142" t="str">
        <f t="shared" si="0"/>
        <v xml:space="preserve"> </v>
      </c>
      <c r="Q14" s="143" t="str">
        <f t="shared" si="1"/>
        <v/>
      </c>
      <c r="R14" s="143" t="str">
        <f t="shared" si="2"/>
        <v/>
      </c>
    </row>
    <row r="15" spans="1:18" ht="18" x14ac:dyDescent="0.25">
      <c r="A15" s="28"/>
      <c r="B15" s="39" t="s">
        <v>181</v>
      </c>
      <c r="C15" s="130">
        <v>0</v>
      </c>
      <c r="D15" s="130">
        <v>0</v>
      </c>
      <c r="E15" s="130">
        <v>0</v>
      </c>
      <c r="F15" s="130">
        <v>0</v>
      </c>
      <c r="G15" s="78">
        <f t="shared" si="5"/>
        <v>0</v>
      </c>
      <c r="H15" s="105" t="str">
        <f t="shared" si="6"/>
        <v/>
      </c>
      <c r="I15" s="106" t="str">
        <f t="shared" si="7"/>
        <v/>
      </c>
      <c r="K15" s="144"/>
      <c r="L15" s="144"/>
      <c r="M15" s="144"/>
      <c r="N15" s="144"/>
      <c r="O15" s="144"/>
      <c r="P15" s="142" t="str">
        <f t="shared" si="0"/>
        <v xml:space="preserve"> </v>
      </c>
      <c r="Q15" s="143" t="str">
        <f t="shared" si="1"/>
        <v/>
      </c>
      <c r="R15" s="143" t="str">
        <f t="shared" si="2"/>
        <v/>
      </c>
    </row>
    <row r="16" spans="1:18" ht="18" x14ac:dyDescent="0.25">
      <c r="A16" s="28"/>
      <c r="B16" s="39" t="s">
        <v>182</v>
      </c>
      <c r="C16" s="130">
        <v>0</v>
      </c>
      <c r="D16" s="130">
        <v>0</v>
      </c>
      <c r="E16" s="130">
        <v>0</v>
      </c>
      <c r="F16" s="130">
        <v>0</v>
      </c>
      <c r="G16" s="78">
        <f t="shared" si="5"/>
        <v>0</v>
      </c>
      <c r="H16" s="105" t="str">
        <f t="shared" si="6"/>
        <v/>
      </c>
      <c r="I16" s="106" t="str">
        <f t="shared" si="7"/>
        <v/>
      </c>
      <c r="K16" s="144"/>
      <c r="L16" s="144"/>
      <c r="M16" s="144"/>
      <c r="N16" s="144"/>
      <c r="O16" s="144"/>
      <c r="P16" s="142" t="str">
        <f t="shared" si="0"/>
        <v xml:space="preserve"> </v>
      </c>
      <c r="Q16" s="143" t="str">
        <f t="shared" si="1"/>
        <v/>
      </c>
      <c r="R16" s="143" t="str">
        <f t="shared" si="2"/>
        <v/>
      </c>
    </row>
    <row r="17" spans="1:18" ht="18" x14ac:dyDescent="0.25">
      <c r="A17" s="28"/>
      <c r="B17" s="41" t="s">
        <v>199</v>
      </c>
      <c r="C17" s="131"/>
      <c r="D17" s="131"/>
      <c r="E17" s="131"/>
      <c r="F17" s="131"/>
      <c r="G17" s="78"/>
      <c r="H17" s="105"/>
      <c r="I17" s="106" t="str">
        <f t="shared" si="7"/>
        <v/>
      </c>
      <c r="K17" s="144"/>
      <c r="L17" s="144"/>
      <c r="M17" s="144"/>
      <c r="N17" s="144"/>
      <c r="O17" s="144"/>
      <c r="P17" s="142" t="str">
        <f t="shared" si="0"/>
        <v xml:space="preserve"> </v>
      </c>
      <c r="Q17" s="143" t="str">
        <f t="shared" si="1"/>
        <v/>
      </c>
      <c r="R17" s="143" t="str">
        <f t="shared" si="2"/>
        <v/>
      </c>
    </row>
    <row r="18" spans="1:18" ht="18" x14ac:dyDescent="0.25">
      <c r="A18" s="28"/>
      <c r="B18" s="62"/>
      <c r="C18" s="130"/>
      <c r="D18" s="130"/>
      <c r="E18" s="130"/>
      <c r="F18" s="130"/>
      <c r="G18" s="78" t="str">
        <f t="shared" ref="G18:G20" si="8">IF(OR(D18="",E18="",F18="")," ",D18+E18+F18)</f>
        <v xml:space="preserve"> </v>
      </c>
      <c r="H18" s="105" t="str">
        <f t="shared" ref="H18:H20" si="9">IFERROR(MIN(1,G18/C18),"")</f>
        <v/>
      </c>
      <c r="I18" s="106" t="str">
        <f t="shared" si="7"/>
        <v/>
      </c>
      <c r="K18" s="144"/>
      <c r="L18" s="144"/>
      <c r="M18" s="144"/>
      <c r="N18" s="144"/>
      <c r="O18" s="144"/>
      <c r="P18" s="142" t="str">
        <f t="shared" si="0"/>
        <v xml:space="preserve"> </v>
      </c>
      <c r="Q18" s="143" t="str">
        <f t="shared" si="1"/>
        <v/>
      </c>
      <c r="R18" s="143" t="str">
        <f t="shared" si="2"/>
        <v/>
      </c>
    </row>
    <row r="19" spans="1:18" ht="18" x14ac:dyDescent="0.25">
      <c r="A19" s="28"/>
      <c r="B19" s="62"/>
      <c r="C19" s="130"/>
      <c r="D19" s="130"/>
      <c r="E19" s="130"/>
      <c r="F19" s="130"/>
      <c r="G19" s="78" t="str">
        <f t="shared" si="8"/>
        <v xml:space="preserve"> </v>
      </c>
      <c r="H19" s="105" t="str">
        <f t="shared" si="9"/>
        <v/>
      </c>
      <c r="I19" s="106" t="str">
        <f t="shared" si="7"/>
        <v/>
      </c>
      <c r="K19" s="144"/>
      <c r="L19" s="144"/>
      <c r="M19" s="144"/>
      <c r="N19" s="144"/>
      <c r="O19" s="144"/>
      <c r="P19" s="142" t="str">
        <f t="shared" si="0"/>
        <v xml:space="preserve"> </v>
      </c>
      <c r="Q19" s="143" t="str">
        <f t="shared" si="1"/>
        <v/>
      </c>
      <c r="R19" s="143" t="str">
        <f t="shared" si="2"/>
        <v/>
      </c>
    </row>
    <row r="20" spans="1:18" ht="18" x14ac:dyDescent="0.25">
      <c r="A20" s="28"/>
      <c r="B20" s="62"/>
      <c r="C20" s="130"/>
      <c r="D20" s="130"/>
      <c r="E20" s="130"/>
      <c r="F20" s="130"/>
      <c r="G20" s="78" t="str">
        <f t="shared" si="8"/>
        <v xml:space="preserve"> </v>
      </c>
      <c r="H20" s="105" t="str">
        <f t="shared" si="9"/>
        <v/>
      </c>
      <c r="I20" s="106" t="str">
        <f t="shared" si="7"/>
        <v/>
      </c>
      <c r="K20" s="144"/>
      <c r="L20" s="144"/>
      <c r="M20" s="144"/>
      <c r="N20" s="144"/>
      <c r="O20" s="144"/>
      <c r="P20" s="142" t="str">
        <f t="shared" si="0"/>
        <v xml:space="preserve"> </v>
      </c>
      <c r="Q20" s="143" t="str">
        <f t="shared" si="1"/>
        <v/>
      </c>
      <c r="R20" s="143" t="str">
        <f t="shared" si="2"/>
        <v/>
      </c>
    </row>
    <row r="21" spans="1:18" ht="18" x14ac:dyDescent="0.25">
      <c r="A21" s="28"/>
      <c r="B21" s="149" t="s">
        <v>237</v>
      </c>
      <c r="C21" s="150"/>
      <c r="D21" s="150"/>
      <c r="E21" s="150"/>
      <c r="F21" s="150"/>
      <c r="G21" s="151"/>
      <c r="H21" s="107" t="str">
        <f>IF(COUNT(H9:H20)&gt;0,AVERAGE(H9:H20),"")</f>
        <v/>
      </c>
      <c r="I21" s="108" t="str">
        <f>IF(COUNT(I9:I20)&gt;0,AVERAGE(I9:I20),"")</f>
        <v/>
      </c>
    </row>
    <row r="22" spans="1:18" ht="18.95" customHeight="1" x14ac:dyDescent="0.25">
      <c r="A22" s="28"/>
      <c r="B22" s="109" t="s">
        <v>107</v>
      </c>
      <c r="C22" s="138">
        <f>SUM(C23,C36,C50,C59,C71)</f>
        <v>0</v>
      </c>
      <c r="D22" s="138">
        <f t="shared" ref="D22:G22" si="10">SUM(D23,D36,D50,D59,D71)</f>
        <v>0</v>
      </c>
      <c r="E22" s="138">
        <f t="shared" si="10"/>
        <v>0</v>
      </c>
      <c r="F22" s="138">
        <f t="shared" si="10"/>
        <v>0</v>
      </c>
      <c r="G22" s="103">
        <f t="shared" si="10"/>
        <v>0</v>
      </c>
      <c r="H22" s="104"/>
      <c r="I22" s="104"/>
    </row>
    <row r="23" spans="1:18" s="36" customFormat="1" ht="18.95" customHeight="1" x14ac:dyDescent="0.25">
      <c r="A23" s="35"/>
      <c r="B23" s="97" t="s">
        <v>101</v>
      </c>
      <c r="C23" s="110">
        <f t="shared" ref="C23:F23" si="11">SUM(C24:C33)</f>
        <v>0</v>
      </c>
      <c r="D23" s="110">
        <f t="shared" si="11"/>
        <v>0</v>
      </c>
      <c r="E23" s="110">
        <f t="shared" si="11"/>
        <v>0</v>
      </c>
      <c r="F23" s="110">
        <f t="shared" si="11"/>
        <v>0</v>
      </c>
      <c r="G23" s="110">
        <f>SUM(G24:G33)</f>
        <v>0</v>
      </c>
      <c r="H23" s="111"/>
      <c r="I23" s="111"/>
      <c r="J23" s="32"/>
    </row>
    <row r="24" spans="1:18" ht="18" x14ac:dyDescent="0.25">
      <c r="A24" s="28"/>
      <c r="B24" s="40" t="s">
        <v>251</v>
      </c>
      <c r="C24" s="139">
        <v>0</v>
      </c>
      <c r="D24" s="140">
        <v>0</v>
      </c>
      <c r="E24" s="140">
        <v>0</v>
      </c>
      <c r="F24" s="140">
        <v>0</v>
      </c>
      <c r="G24" s="78">
        <f t="shared" ref="G24:G27" si="12">IF(OR(D24="",E24="",F24="")," ",D24+E24+F24)</f>
        <v>0</v>
      </c>
      <c r="H24" s="106" t="str">
        <f t="shared" ref="H24:H27" si="13">IFERROR(MIN(1,G24/C24),"")</f>
        <v/>
      </c>
      <c r="I24" s="106" t="str">
        <f t="shared" ref="I24:I33" si="14">IF(OR(C24=0),"",IFERROR(MIN(1,D24/G24),""))</f>
        <v/>
      </c>
    </row>
    <row r="25" spans="1:18" ht="18" x14ac:dyDescent="0.25">
      <c r="A25" s="28"/>
      <c r="B25" s="40" t="s">
        <v>252</v>
      </c>
      <c r="C25" s="139">
        <v>0</v>
      </c>
      <c r="D25" s="140">
        <v>0</v>
      </c>
      <c r="E25" s="140">
        <v>0</v>
      </c>
      <c r="F25" s="140">
        <v>0</v>
      </c>
      <c r="G25" s="78">
        <f t="shared" si="12"/>
        <v>0</v>
      </c>
      <c r="H25" s="106" t="str">
        <f t="shared" si="13"/>
        <v/>
      </c>
      <c r="I25" s="106" t="str">
        <f t="shared" si="14"/>
        <v/>
      </c>
    </row>
    <row r="26" spans="1:18" ht="18" x14ac:dyDescent="0.25">
      <c r="A26" s="28"/>
      <c r="B26" s="62" t="s">
        <v>201</v>
      </c>
      <c r="C26" s="139">
        <v>0</v>
      </c>
      <c r="D26" s="140">
        <v>0</v>
      </c>
      <c r="E26" s="140">
        <v>0</v>
      </c>
      <c r="F26" s="140">
        <v>0</v>
      </c>
      <c r="G26" s="78">
        <f t="shared" si="12"/>
        <v>0</v>
      </c>
      <c r="H26" s="106" t="str">
        <f t="shared" si="13"/>
        <v/>
      </c>
      <c r="I26" s="106" t="str">
        <f t="shared" si="14"/>
        <v/>
      </c>
    </row>
    <row r="27" spans="1:18" ht="18" x14ac:dyDescent="0.25">
      <c r="A27" s="28"/>
      <c r="B27" s="62" t="s">
        <v>202</v>
      </c>
      <c r="C27" s="136">
        <v>0</v>
      </c>
      <c r="D27" s="136">
        <v>0</v>
      </c>
      <c r="E27" s="136">
        <v>0</v>
      </c>
      <c r="F27" s="136">
        <v>0</v>
      </c>
      <c r="G27" s="78">
        <f t="shared" si="12"/>
        <v>0</v>
      </c>
      <c r="H27" s="106" t="str">
        <f t="shared" si="13"/>
        <v/>
      </c>
      <c r="I27" s="106" t="str">
        <f t="shared" si="14"/>
        <v/>
      </c>
    </row>
    <row r="28" spans="1:18" ht="18" x14ac:dyDescent="0.25">
      <c r="A28" s="28"/>
      <c r="B28" s="41" t="s">
        <v>199</v>
      </c>
      <c r="C28" s="141"/>
      <c r="D28" s="141"/>
      <c r="E28" s="141"/>
      <c r="F28" s="141"/>
      <c r="G28" s="78"/>
      <c r="H28" s="106"/>
      <c r="I28" s="106" t="str">
        <f t="shared" si="14"/>
        <v/>
      </c>
    </row>
    <row r="29" spans="1:18" ht="18" x14ac:dyDescent="0.25">
      <c r="A29" s="28"/>
      <c r="B29" s="64" t="s">
        <v>211</v>
      </c>
      <c r="C29" s="139">
        <v>0</v>
      </c>
      <c r="D29" s="140">
        <v>0</v>
      </c>
      <c r="E29" s="140">
        <v>0</v>
      </c>
      <c r="F29" s="140">
        <v>0</v>
      </c>
      <c r="G29" s="78">
        <f t="shared" ref="G29:G33" si="15">IF(OR(D29="",E29="",F29="")," ",D29+E29+F29)</f>
        <v>0</v>
      </c>
      <c r="H29" s="106" t="str">
        <f t="shared" ref="H29:H33" si="16">IFERROR(MIN(1,G29/C29),"")</f>
        <v/>
      </c>
      <c r="I29" s="106" t="str">
        <f t="shared" si="14"/>
        <v/>
      </c>
    </row>
    <row r="30" spans="1:18" ht="18" x14ac:dyDescent="0.25">
      <c r="A30" s="28"/>
      <c r="B30" s="64" t="s">
        <v>200</v>
      </c>
      <c r="C30" s="136">
        <v>0</v>
      </c>
      <c r="D30" s="136">
        <v>0</v>
      </c>
      <c r="E30" s="136">
        <v>0</v>
      </c>
      <c r="F30" s="136">
        <v>0</v>
      </c>
      <c r="G30" s="78">
        <f t="shared" si="15"/>
        <v>0</v>
      </c>
      <c r="H30" s="106" t="str">
        <f t="shared" si="16"/>
        <v/>
      </c>
      <c r="I30" s="106" t="str">
        <f t="shared" si="14"/>
        <v/>
      </c>
    </row>
    <row r="31" spans="1:18" ht="18" x14ac:dyDescent="0.25">
      <c r="A31" s="28"/>
      <c r="B31" s="64"/>
      <c r="C31" s="136"/>
      <c r="D31" s="136"/>
      <c r="E31" s="136"/>
      <c r="F31" s="136"/>
      <c r="G31" s="78" t="str">
        <f t="shared" si="15"/>
        <v xml:space="preserve"> </v>
      </c>
      <c r="H31" s="106" t="str">
        <f t="shared" si="16"/>
        <v/>
      </c>
      <c r="I31" s="106" t="str">
        <f t="shared" si="14"/>
        <v/>
      </c>
    </row>
    <row r="32" spans="1:18" ht="18" x14ac:dyDescent="0.25">
      <c r="A32" s="28"/>
      <c r="B32" s="64"/>
      <c r="C32" s="136"/>
      <c r="D32" s="136"/>
      <c r="E32" s="136"/>
      <c r="F32" s="136"/>
      <c r="G32" s="78" t="str">
        <f t="shared" si="15"/>
        <v xml:space="preserve"> </v>
      </c>
      <c r="H32" s="106" t="str">
        <f t="shared" si="16"/>
        <v/>
      </c>
      <c r="I32" s="106" t="str">
        <f t="shared" si="14"/>
        <v/>
      </c>
    </row>
    <row r="33" spans="1:10" ht="18" x14ac:dyDescent="0.25">
      <c r="A33" s="28"/>
      <c r="B33" s="64"/>
      <c r="C33" s="136"/>
      <c r="D33" s="136"/>
      <c r="E33" s="136"/>
      <c r="F33" s="136"/>
      <c r="G33" s="78" t="str">
        <f t="shared" si="15"/>
        <v xml:space="preserve"> </v>
      </c>
      <c r="H33" s="106" t="str">
        <f t="shared" si="16"/>
        <v/>
      </c>
      <c r="I33" s="106" t="str">
        <f t="shared" si="14"/>
        <v/>
      </c>
    </row>
    <row r="34" spans="1:10" ht="18" x14ac:dyDescent="0.25">
      <c r="A34" s="28"/>
      <c r="B34" s="149" t="s">
        <v>237</v>
      </c>
      <c r="C34" s="150"/>
      <c r="D34" s="150"/>
      <c r="E34" s="150"/>
      <c r="F34" s="150"/>
      <c r="G34" s="151"/>
      <c r="H34" s="107" t="str">
        <f>IF(COUNT(H24:H33)&gt;0,AVERAGE(H24:H33),"")</f>
        <v/>
      </c>
      <c r="I34" s="108" t="str">
        <f>IF(COUNT(I22:I33)&gt;0,AVERAGE(I22:I33),"")</f>
        <v/>
      </c>
    </row>
    <row r="35" spans="1:10" s="36" customFormat="1" ht="18.95" customHeight="1" x14ac:dyDescent="0.25">
      <c r="A35" s="35"/>
      <c r="B35" s="97" t="s">
        <v>108</v>
      </c>
      <c r="C35" s="132">
        <f t="shared" ref="C35:F35" si="17">SUM(C36:C47)</f>
        <v>0</v>
      </c>
      <c r="D35" s="132">
        <f t="shared" si="17"/>
        <v>0</v>
      </c>
      <c r="E35" s="132">
        <f t="shared" si="17"/>
        <v>0</v>
      </c>
      <c r="F35" s="132">
        <f t="shared" si="17"/>
        <v>0</v>
      </c>
      <c r="G35" s="110">
        <f>SUM(G36:G47)</f>
        <v>0</v>
      </c>
      <c r="H35" s="111"/>
      <c r="I35" s="111"/>
      <c r="J35" s="32"/>
    </row>
    <row r="36" spans="1:10" ht="18" x14ac:dyDescent="0.25">
      <c r="A36" s="28"/>
      <c r="B36" s="62" t="s">
        <v>256</v>
      </c>
      <c r="C36" s="133"/>
      <c r="D36" s="134"/>
      <c r="E36" s="134"/>
      <c r="F36" s="134"/>
      <c r="G36" s="78" t="str">
        <f t="shared" ref="G36:G41" si="18">IF(OR(D36="",E36="",F36="")," ",D36+E36+F36)</f>
        <v xml:space="preserve"> </v>
      </c>
      <c r="H36" s="112" t="str">
        <f t="shared" ref="H36:H41" si="19">IFERROR(MIN(1,G36/C36),"")</f>
        <v/>
      </c>
      <c r="I36" s="112" t="str">
        <f t="shared" ref="I36:I47" si="20">IF(OR(C36=0),"",IFERROR(MIN(1,D36/G36),""))</f>
        <v/>
      </c>
    </row>
    <row r="37" spans="1:10" ht="18" x14ac:dyDescent="0.25">
      <c r="A37" s="28"/>
      <c r="B37" s="62" t="s">
        <v>203</v>
      </c>
      <c r="C37" s="133"/>
      <c r="D37" s="134"/>
      <c r="E37" s="134"/>
      <c r="F37" s="134"/>
      <c r="G37" s="78" t="str">
        <f t="shared" si="18"/>
        <v xml:space="preserve"> </v>
      </c>
      <c r="H37" s="112" t="str">
        <f t="shared" si="19"/>
        <v/>
      </c>
      <c r="I37" s="112" t="str">
        <f t="shared" si="20"/>
        <v/>
      </c>
    </row>
    <row r="38" spans="1:10" ht="18" x14ac:dyDescent="0.25">
      <c r="A38" s="28"/>
      <c r="B38" s="62" t="s">
        <v>204</v>
      </c>
      <c r="C38" s="130"/>
      <c r="D38" s="130"/>
      <c r="E38" s="130"/>
      <c r="F38" s="130"/>
      <c r="G38" s="78" t="str">
        <f t="shared" si="18"/>
        <v xml:space="preserve"> </v>
      </c>
      <c r="H38" s="112" t="str">
        <f t="shared" si="19"/>
        <v/>
      </c>
      <c r="I38" s="112" t="str">
        <f t="shared" si="20"/>
        <v/>
      </c>
    </row>
    <row r="39" spans="1:10" ht="18" x14ac:dyDescent="0.25">
      <c r="A39" s="28"/>
      <c r="B39" s="62" t="s">
        <v>205</v>
      </c>
      <c r="C39" s="133"/>
      <c r="D39" s="134"/>
      <c r="E39" s="134"/>
      <c r="F39" s="134"/>
      <c r="G39" s="78" t="str">
        <f t="shared" si="18"/>
        <v xml:space="preserve"> </v>
      </c>
      <c r="H39" s="112" t="str">
        <f t="shared" si="19"/>
        <v/>
      </c>
      <c r="I39" s="112" t="str">
        <f t="shared" si="20"/>
        <v/>
      </c>
    </row>
    <row r="40" spans="1:10" ht="18" x14ac:dyDescent="0.25">
      <c r="A40" s="28"/>
      <c r="B40" s="62" t="s">
        <v>206</v>
      </c>
      <c r="C40" s="133"/>
      <c r="D40" s="134"/>
      <c r="E40" s="134"/>
      <c r="F40" s="134"/>
      <c r="G40" s="78" t="str">
        <f t="shared" si="18"/>
        <v xml:space="preserve"> </v>
      </c>
      <c r="H40" s="112" t="str">
        <f t="shared" si="19"/>
        <v/>
      </c>
      <c r="I40" s="112" t="str">
        <f t="shared" si="20"/>
        <v/>
      </c>
    </row>
    <row r="41" spans="1:10" ht="18" x14ac:dyDescent="0.25">
      <c r="A41" s="28"/>
      <c r="B41" s="62" t="s">
        <v>253</v>
      </c>
      <c r="C41" s="130"/>
      <c r="D41" s="130"/>
      <c r="E41" s="130"/>
      <c r="F41" s="130"/>
      <c r="G41" s="78" t="str">
        <f t="shared" si="18"/>
        <v xml:space="preserve"> </v>
      </c>
      <c r="H41" s="112" t="str">
        <f t="shared" si="19"/>
        <v/>
      </c>
      <c r="I41" s="112" t="str">
        <f t="shared" si="20"/>
        <v/>
      </c>
    </row>
    <row r="42" spans="1:10" ht="18" x14ac:dyDescent="0.25">
      <c r="A42" s="28"/>
      <c r="B42" s="41" t="s">
        <v>199</v>
      </c>
      <c r="C42" s="131"/>
      <c r="D42" s="131"/>
      <c r="E42" s="131"/>
      <c r="F42" s="131"/>
      <c r="G42" s="78"/>
      <c r="H42" s="112"/>
      <c r="I42" s="112" t="str">
        <f t="shared" si="20"/>
        <v/>
      </c>
    </row>
    <row r="43" spans="1:10" ht="18" x14ac:dyDescent="0.25">
      <c r="A43" s="28"/>
      <c r="B43" s="64" t="s">
        <v>212</v>
      </c>
      <c r="C43" s="130"/>
      <c r="D43" s="130"/>
      <c r="E43" s="130"/>
      <c r="F43" s="130"/>
      <c r="G43" s="78" t="str">
        <f t="shared" ref="G43:G47" si="21">IF(OR(D43="",E43="",F43="")," ",D43+E43+F43)</f>
        <v xml:space="preserve"> </v>
      </c>
      <c r="H43" s="112" t="str">
        <f t="shared" ref="H43:H47" si="22">IFERROR(MIN(1,G43/C43),"")</f>
        <v/>
      </c>
      <c r="I43" s="112" t="str">
        <f t="shared" si="20"/>
        <v/>
      </c>
    </row>
    <row r="44" spans="1:10" ht="18" x14ac:dyDescent="0.25">
      <c r="A44" s="28"/>
      <c r="B44" s="64" t="s">
        <v>207</v>
      </c>
      <c r="C44" s="130"/>
      <c r="D44" s="130"/>
      <c r="E44" s="130"/>
      <c r="F44" s="130"/>
      <c r="G44" s="78" t="str">
        <f t="shared" si="21"/>
        <v xml:space="preserve"> </v>
      </c>
      <c r="H44" s="112" t="str">
        <f t="shared" si="22"/>
        <v/>
      </c>
      <c r="I44" s="112" t="str">
        <f t="shared" si="20"/>
        <v/>
      </c>
    </row>
    <row r="45" spans="1:10" ht="18" x14ac:dyDescent="0.25">
      <c r="A45" s="28"/>
      <c r="B45" s="64"/>
      <c r="C45" s="130"/>
      <c r="D45" s="130"/>
      <c r="E45" s="130"/>
      <c r="F45" s="130"/>
      <c r="G45" s="78" t="str">
        <f t="shared" si="21"/>
        <v xml:space="preserve"> </v>
      </c>
      <c r="H45" s="112" t="str">
        <f t="shared" si="22"/>
        <v/>
      </c>
      <c r="I45" s="112" t="str">
        <f t="shared" si="20"/>
        <v/>
      </c>
    </row>
    <row r="46" spans="1:10" ht="18" x14ac:dyDescent="0.25">
      <c r="A46" s="28"/>
      <c r="B46" s="64"/>
      <c r="C46" s="130"/>
      <c r="D46" s="130"/>
      <c r="E46" s="130"/>
      <c r="F46" s="130"/>
      <c r="G46" s="78" t="str">
        <f t="shared" si="21"/>
        <v xml:space="preserve"> </v>
      </c>
      <c r="H46" s="112" t="str">
        <f t="shared" si="22"/>
        <v/>
      </c>
      <c r="I46" s="112" t="str">
        <f t="shared" si="20"/>
        <v/>
      </c>
    </row>
    <row r="47" spans="1:10" ht="18" x14ac:dyDescent="0.25">
      <c r="A47" s="28"/>
      <c r="B47" s="64"/>
      <c r="C47" s="130"/>
      <c r="D47" s="130"/>
      <c r="E47" s="130"/>
      <c r="F47" s="130"/>
      <c r="G47" s="78" t="str">
        <f t="shared" si="21"/>
        <v xml:space="preserve"> </v>
      </c>
      <c r="H47" s="112" t="str">
        <f t="shared" si="22"/>
        <v/>
      </c>
      <c r="I47" s="112" t="str">
        <f t="shared" si="20"/>
        <v/>
      </c>
    </row>
    <row r="48" spans="1:10" ht="18" x14ac:dyDescent="0.25">
      <c r="A48" s="28"/>
      <c r="B48" s="149" t="s">
        <v>237</v>
      </c>
      <c r="C48" s="150"/>
      <c r="D48" s="150"/>
      <c r="E48" s="150"/>
      <c r="F48" s="150"/>
      <c r="G48" s="151"/>
      <c r="H48" s="113" t="str">
        <f>IF(COUNT(H36:H47)&gt;0,AVERAGE(H36:H47),"")</f>
        <v/>
      </c>
      <c r="I48" s="113" t="str">
        <f>IF(COUNT(I36:I47)&gt;0,AVERAGE(I36:I47),"")</f>
        <v/>
      </c>
    </row>
    <row r="49" spans="1:10" s="36" customFormat="1" ht="18" customHeight="1" x14ac:dyDescent="0.25">
      <c r="A49" s="35"/>
      <c r="B49" s="97" t="s">
        <v>109</v>
      </c>
      <c r="C49" s="110">
        <f>SUM(C50:C56)</f>
        <v>95</v>
      </c>
      <c r="D49" s="110">
        <f t="shared" ref="D49:G49" si="23">SUM(D50:D56)</f>
        <v>95</v>
      </c>
      <c r="E49" s="110">
        <f t="shared" si="23"/>
        <v>0</v>
      </c>
      <c r="F49" s="110">
        <f t="shared" si="23"/>
        <v>0</v>
      </c>
      <c r="G49" s="110">
        <f t="shared" si="23"/>
        <v>95</v>
      </c>
      <c r="H49" s="111"/>
      <c r="I49" s="111"/>
      <c r="J49" s="32"/>
    </row>
    <row r="50" spans="1:10" ht="18" x14ac:dyDescent="0.25">
      <c r="A50" s="28"/>
      <c r="B50" s="62" t="s">
        <v>208</v>
      </c>
      <c r="C50" s="139">
        <v>0</v>
      </c>
      <c r="D50" s="140">
        <v>0</v>
      </c>
      <c r="E50" s="140">
        <v>0</v>
      </c>
      <c r="F50" s="140">
        <v>0</v>
      </c>
      <c r="G50" s="78">
        <f t="shared" ref="G50:G56" si="24">IF(OR(D50="",E50="",F50="")," ",D50+E50+F50)</f>
        <v>0</v>
      </c>
      <c r="H50" s="106" t="str">
        <f t="shared" ref="H50:H56" si="25">IFERROR(MIN(1,G50/C50),"")</f>
        <v/>
      </c>
      <c r="I50" s="106" t="str">
        <f t="shared" ref="I50:I56" si="26">IF(OR(C50=0),"",IFERROR(MIN(1,D50/G50),""))</f>
        <v/>
      </c>
    </row>
    <row r="51" spans="1:10" s="32" customFormat="1" ht="18" x14ac:dyDescent="0.25">
      <c r="A51" s="37"/>
      <c r="B51" s="63" t="s">
        <v>209</v>
      </c>
      <c r="C51" s="136"/>
      <c r="D51" s="136"/>
      <c r="E51" s="136"/>
      <c r="F51" s="136"/>
      <c r="G51" s="78" t="str">
        <f t="shared" si="24"/>
        <v xml:space="preserve"> </v>
      </c>
      <c r="H51" s="106" t="str">
        <f t="shared" si="25"/>
        <v/>
      </c>
      <c r="I51" s="106" t="str">
        <f t="shared" si="26"/>
        <v/>
      </c>
    </row>
    <row r="52" spans="1:10" ht="18" x14ac:dyDescent="0.25">
      <c r="A52" s="28"/>
      <c r="B52" s="62" t="s">
        <v>210</v>
      </c>
      <c r="C52" s="136">
        <v>95</v>
      </c>
      <c r="D52" s="136">
        <v>95</v>
      </c>
      <c r="E52" s="136">
        <v>0</v>
      </c>
      <c r="F52" s="136">
        <v>0</v>
      </c>
      <c r="G52" s="78">
        <f t="shared" si="24"/>
        <v>95</v>
      </c>
      <c r="H52" s="106">
        <f t="shared" si="25"/>
        <v>1</v>
      </c>
      <c r="I52" s="106">
        <f t="shared" si="26"/>
        <v>1</v>
      </c>
    </row>
    <row r="53" spans="1:10" ht="18" x14ac:dyDescent="0.25">
      <c r="A53" s="28"/>
      <c r="B53" s="41" t="s">
        <v>199</v>
      </c>
      <c r="C53" s="137"/>
      <c r="D53" s="137"/>
      <c r="E53" s="137"/>
      <c r="F53" s="137"/>
      <c r="G53" s="78" t="str">
        <f t="shared" si="24"/>
        <v xml:space="preserve"> </v>
      </c>
      <c r="H53" s="106" t="str">
        <f t="shared" si="25"/>
        <v/>
      </c>
      <c r="I53" s="106" t="str">
        <f t="shared" si="26"/>
        <v/>
      </c>
    </row>
    <row r="54" spans="1:10" ht="18" x14ac:dyDescent="0.25">
      <c r="A54" s="28"/>
      <c r="B54" s="58"/>
      <c r="C54" s="136"/>
      <c r="D54" s="136"/>
      <c r="E54" s="136"/>
      <c r="F54" s="136"/>
      <c r="G54" s="78" t="str">
        <f t="shared" si="24"/>
        <v xml:space="preserve"> </v>
      </c>
      <c r="H54" s="106" t="str">
        <f t="shared" si="25"/>
        <v/>
      </c>
      <c r="I54" s="106" t="str">
        <f t="shared" si="26"/>
        <v/>
      </c>
    </row>
    <row r="55" spans="1:10" ht="18" x14ac:dyDescent="0.25">
      <c r="A55" s="28"/>
      <c r="B55" s="58"/>
      <c r="C55" s="136"/>
      <c r="D55" s="136"/>
      <c r="E55" s="136"/>
      <c r="F55" s="136"/>
      <c r="G55" s="78" t="str">
        <f t="shared" si="24"/>
        <v xml:space="preserve"> </v>
      </c>
      <c r="H55" s="106" t="str">
        <f t="shared" si="25"/>
        <v/>
      </c>
      <c r="I55" s="106" t="str">
        <f t="shared" si="26"/>
        <v/>
      </c>
    </row>
    <row r="56" spans="1:10" ht="18" x14ac:dyDescent="0.25">
      <c r="A56" s="28"/>
      <c r="B56" s="58"/>
      <c r="C56" s="136"/>
      <c r="D56" s="136"/>
      <c r="E56" s="136"/>
      <c r="F56" s="136"/>
      <c r="G56" s="78" t="str">
        <f t="shared" si="24"/>
        <v xml:space="preserve"> </v>
      </c>
      <c r="H56" s="106" t="str">
        <f t="shared" si="25"/>
        <v/>
      </c>
      <c r="I56" s="106" t="str">
        <f t="shared" si="26"/>
        <v/>
      </c>
    </row>
    <row r="57" spans="1:10" ht="18" x14ac:dyDescent="0.25">
      <c r="A57" s="28"/>
      <c r="B57" s="149" t="s">
        <v>237</v>
      </c>
      <c r="C57" s="150"/>
      <c r="D57" s="150"/>
      <c r="E57" s="150"/>
      <c r="F57" s="150"/>
      <c r="G57" s="151"/>
      <c r="H57" s="113">
        <f>IF(COUNT(H50:H56)&gt;0,AVERAGE(H50:H56),"")</f>
        <v>1</v>
      </c>
      <c r="I57" s="113">
        <f>IF(COUNT(I50:I56)&gt;0,AVERAGE(I50:I56),"")</f>
        <v>1</v>
      </c>
    </row>
    <row r="58" spans="1:10" s="36" customFormat="1" ht="18" customHeight="1" x14ac:dyDescent="0.25">
      <c r="A58" s="35"/>
      <c r="B58" s="97" t="s">
        <v>219</v>
      </c>
      <c r="C58" s="110">
        <f>SUM(C59:C68)</f>
        <v>0</v>
      </c>
      <c r="D58" s="110">
        <f t="shared" ref="D58:G58" si="27">SUM(D59:D68)</f>
        <v>0</v>
      </c>
      <c r="E58" s="110">
        <f t="shared" si="27"/>
        <v>0</v>
      </c>
      <c r="F58" s="110">
        <f t="shared" si="27"/>
        <v>0</v>
      </c>
      <c r="G58" s="110">
        <f t="shared" si="27"/>
        <v>0</v>
      </c>
      <c r="H58" s="111"/>
      <c r="I58" s="111"/>
      <c r="J58" s="32"/>
    </row>
    <row r="59" spans="1:10" s="36" customFormat="1" ht="18" x14ac:dyDescent="0.25">
      <c r="A59" s="35"/>
      <c r="B59" s="62" t="s">
        <v>215</v>
      </c>
      <c r="C59" s="136"/>
      <c r="D59" s="136"/>
      <c r="E59" s="136"/>
      <c r="F59" s="136"/>
      <c r="G59" s="78" t="str">
        <f t="shared" ref="G59:G68" si="28">IF(OR(D59="",E59="",F59="")," ",D59+E59+F59)</f>
        <v xml:space="preserve"> </v>
      </c>
      <c r="H59" s="106" t="str">
        <f t="shared" ref="H59:H68" si="29">IFERROR(MIN(1,G59/C59),"")</f>
        <v/>
      </c>
      <c r="I59" s="106" t="str">
        <f t="shared" ref="I59:I68" si="30">IF(OR(C59=0),"",IFERROR(MIN(1,D59/G59),""))</f>
        <v/>
      </c>
      <c r="J59" s="32"/>
    </row>
    <row r="60" spans="1:10" s="36" customFormat="1" ht="18" x14ac:dyDescent="0.25">
      <c r="A60" s="35"/>
      <c r="B60" s="62" t="s">
        <v>216</v>
      </c>
      <c r="C60" s="139"/>
      <c r="D60" s="140"/>
      <c r="E60" s="140"/>
      <c r="F60" s="140"/>
      <c r="G60" s="78" t="str">
        <f t="shared" si="28"/>
        <v xml:space="preserve"> </v>
      </c>
      <c r="H60" s="106" t="str">
        <f t="shared" si="29"/>
        <v/>
      </c>
      <c r="I60" s="106" t="str">
        <f t="shared" si="30"/>
        <v/>
      </c>
      <c r="J60" s="32"/>
    </row>
    <row r="61" spans="1:10" ht="18" x14ac:dyDescent="0.25">
      <c r="A61" s="28"/>
      <c r="B61" s="62" t="s">
        <v>213</v>
      </c>
      <c r="C61" s="136"/>
      <c r="D61" s="136"/>
      <c r="E61" s="136"/>
      <c r="F61" s="136"/>
      <c r="G61" s="78" t="str">
        <f t="shared" si="28"/>
        <v xml:space="preserve"> </v>
      </c>
      <c r="H61" s="106" t="str">
        <f t="shared" si="29"/>
        <v/>
      </c>
      <c r="I61" s="106" t="str">
        <f t="shared" si="30"/>
        <v/>
      </c>
    </row>
    <row r="62" spans="1:10" ht="18" x14ac:dyDescent="0.25">
      <c r="A62" s="28"/>
      <c r="B62" s="62" t="s">
        <v>214</v>
      </c>
      <c r="C62" s="136"/>
      <c r="D62" s="136"/>
      <c r="E62" s="136"/>
      <c r="F62" s="136"/>
      <c r="G62" s="78" t="str">
        <f t="shared" si="28"/>
        <v xml:space="preserve"> </v>
      </c>
      <c r="H62" s="106" t="str">
        <f t="shared" si="29"/>
        <v/>
      </c>
      <c r="I62" s="106" t="str">
        <f t="shared" si="30"/>
        <v/>
      </c>
    </row>
    <row r="63" spans="1:10" ht="18" x14ac:dyDescent="0.25">
      <c r="A63" s="28"/>
      <c r="B63" s="62" t="s">
        <v>217</v>
      </c>
      <c r="C63" s="136"/>
      <c r="D63" s="136"/>
      <c r="E63" s="136"/>
      <c r="F63" s="136"/>
      <c r="G63" s="78" t="str">
        <f t="shared" si="28"/>
        <v xml:space="preserve"> </v>
      </c>
      <c r="H63" s="106" t="str">
        <f t="shared" si="29"/>
        <v/>
      </c>
      <c r="I63" s="106" t="str">
        <f t="shared" si="30"/>
        <v/>
      </c>
    </row>
    <row r="64" spans="1:10" ht="18" x14ac:dyDescent="0.25">
      <c r="A64" s="28"/>
      <c r="B64" s="62" t="s">
        <v>218</v>
      </c>
      <c r="C64" s="139"/>
      <c r="D64" s="140"/>
      <c r="E64" s="140"/>
      <c r="F64" s="140"/>
      <c r="G64" s="78" t="str">
        <f t="shared" si="28"/>
        <v xml:space="preserve"> </v>
      </c>
      <c r="H64" s="106" t="str">
        <f t="shared" si="29"/>
        <v/>
      </c>
      <c r="I64" s="106" t="str">
        <f t="shared" si="30"/>
        <v/>
      </c>
    </row>
    <row r="65" spans="1:10" ht="18" x14ac:dyDescent="0.25">
      <c r="A65" s="28"/>
      <c r="B65" s="41" t="s">
        <v>199</v>
      </c>
      <c r="C65" s="137"/>
      <c r="D65" s="137"/>
      <c r="E65" s="137"/>
      <c r="F65" s="137"/>
      <c r="G65" s="78" t="str">
        <f t="shared" si="28"/>
        <v xml:space="preserve"> </v>
      </c>
      <c r="H65" s="106" t="str">
        <f t="shared" si="29"/>
        <v/>
      </c>
      <c r="I65" s="106" t="str">
        <f t="shared" si="30"/>
        <v/>
      </c>
    </row>
    <row r="66" spans="1:10" ht="18" x14ac:dyDescent="0.25">
      <c r="A66" s="28"/>
      <c r="B66" s="58"/>
      <c r="C66" s="139"/>
      <c r="D66" s="140"/>
      <c r="E66" s="140"/>
      <c r="F66" s="140"/>
      <c r="G66" s="78" t="str">
        <f t="shared" si="28"/>
        <v xml:space="preserve"> </v>
      </c>
      <c r="H66" s="106" t="str">
        <f t="shared" si="29"/>
        <v/>
      </c>
      <c r="I66" s="106" t="str">
        <f t="shared" si="30"/>
        <v/>
      </c>
    </row>
    <row r="67" spans="1:10" ht="18" x14ac:dyDescent="0.25">
      <c r="A67" s="28"/>
      <c r="B67" s="58"/>
      <c r="C67" s="136"/>
      <c r="D67" s="136"/>
      <c r="E67" s="136"/>
      <c r="F67" s="136"/>
      <c r="G67" s="78" t="str">
        <f t="shared" si="28"/>
        <v xml:space="preserve"> </v>
      </c>
      <c r="H67" s="106" t="str">
        <f t="shared" si="29"/>
        <v/>
      </c>
      <c r="I67" s="106" t="str">
        <f t="shared" si="30"/>
        <v/>
      </c>
    </row>
    <row r="68" spans="1:10" ht="18" x14ac:dyDescent="0.25">
      <c r="A68" s="28"/>
      <c r="B68" s="58"/>
      <c r="C68" s="136"/>
      <c r="D68" s="136"/>
      <c r="E68" s="136"/>
      <c r="F68" s="136"/>
      <c r="G68" s="78" t="str">
        <f t="shared" si="28"/>
        <v xml:space="preserve"> </v>
      </c>
      <c r="H68" s="106" t="str">
        <f t="shared" si="29"/>
        <v/>
      </c>
      <c r="I68" s="106" t="str">
        <f t="shared" si="30"/>
        <v/>
      </c>
    </row>
    <row r="69" spans="1:10" ht="18" x14ac:dyDescent="0.25">
      <c r="A69" s="28"/>
      <c r="B69" s="152" t="s">
        <v>237</v>
      </c>
      <c r="C69" s="153"/>
      <c r="D69" s="153"/>
      <c r="E69" s="153"/>
      <c r="F69" s="153"/>
      <c r="G69" s="154"/>
      <c r="H69" s="113" t="str">
        <f>IF(COUNT(H59:H68)&gt;0,AVERAGE(H59:H68),"")</f>
        <v/>
      </c>
      <c r="I69" s="113" t="str">
        <f>IF(COUNT(I59:I68)&gt;0,AVERAGE(I59:I68),"")</f>
        <v/>
      </c>
    </row>
    <row r="70" spans="1:10" s="36" customFormat="1" ht="18.95" customHeight="1" x14ac:dyDescent="0.25">
      <c r="A70" s="35"/>
      <c r="B70" s="97" t="s">
        <v>102</v>
      </c>
      <c r="C70" s="110">
        <f>SUM(C71:C79)</f>
        <v>0</v>
      </c>
      <c r="D70" s="110">
        <f t="shared" ref="D70:G70" si="31">SUM(D71:D79)</f>
        <v>0</v>
      </c>
      <c r="E70" s="110">
        <f t="shared" si="31"/>
        <v>0</v>
      </c>
      <c r="F70" s="110">
        <f t="shared" si="31"/>
        <v>0</v>
      </c>
      <c r="G70" s="110">
        <f t="shared" si="31"/>
        <v>0</v>
      </c>
      <c r="H70" s="111"/>
      <c r="I70" s="111"/>
      <c r="J70" s="53"/>
    </row>
    <row r="71" spans="1:10" ht="18" x14ac:dyDescent="0.25">
      <c r="A71" s="28"/>
      <c r="B71" s="62" t="s">
        <v>223</v>
      </c>
      <c r="C71" s="136"/>
      <c r="D71" s="136"/>
      <c r="E71" s="136"/>
      <c r="F71" s="136"/>
      <c r="G71" s="78" t="str">
        <f t="shared" ref="G71:G79" si="32">IF(OR(D71="",E71="",F71="")," ",D71+E71+F71)</f>
        <v xml:space="preserve"> </v>
      </c>
      <c r="H71" s="106" t="str">
        <f t="shared" ref="H71:H79" si="33">IFERROR(MIN(1,G71/C71),"")</f>
        <v/>
      </c>
      <c r="I71" s="106" t="str">
        <f t="shared" ref="I71:I79" si="34">IF(OR(C71=0),"",IFERROR(MIN(1,D71/G71),""))</f>
        <v/>
      </c>
    </row>
    <row r="72" spans="1:10" ht="18" x14ac:dyDescent="0.25">
      <c r="A72" s="28"/>
      <c r="B72" s="62" t="s">
        <v>220</v>
      </c>
      <c r="C72" s="139"/>
      <c r="D72" s="140"/>
      <c r="E72" s="140"/>
      <c r="F72" s="140"/>
      <c r="G72" s="78" t="str">
        <f t="shared" si="32"/>
        <v xml:space="preserve"> </v>
      </c>
      <c r="H72" s="106" t="str">
        <f t="shared" si="33"/>
        <v/>
      </c>
      <c r="I72" s="106" t="str">
        <f t="shared" si="34"/>
        <v/>
      </c>
    </row>
    <row r="73" spans="1:10" ht="18" x14ac:dyDescent="0.25">
      <c r="A73" s="28"/>
      <c r="B73" s="62" t="s">
        <v>221</v>
      </c>
      <c r="C73" s="136"/>
      <c r="D73" s="136"/>
      <c r="E73" s="136"/>
      <c r="F73" s="136"/>
      <c r="G73" s="78" t="str">
        <f t="shared" si="32"/>
        <v xml:space="preserve"> </v>
      </c>
      <c r="H73" s="106" t="str">
        <f t="shared" si="33"/>
        <v/>
      </c>
      <c r="I73" s="106" t="str">
        <f t="shared" si="34"/>
        <v/>
      </c>
    </row>
    <row r="74" spans="1:10" ht="18" x14ac:dyDescent="0.25">
      <c r="A74" s="28"/>
      <c r="B74" s="62" t="s">
        <v>222</v>
      </c>
      <c r="C74" s="136"/>
      <c r="D74" s="136"/>
      <c r="E74" s="136"/>
      <c r="F74" s="136"/>
      <c r="G74" s="78" t="str">
        <f t="shared" si="32"/>
        <v xml:space="preserve"> </v>
      </c>
      <c r="H74" s="106" t="str">
        <f t="shared" si="33"/>
        <v/>
      </c>
      <c r="I74" s="106" t="str">
        <f t="shared" si="34"/>
        <v/>
      </c>
    </row>
    <row r="75" spans="1:10" ht="18" x14ac:dyDescent="0.25">
      <c r="A75" s="28"/>
      <c r="B75" s="62" t="s">
        <v>222</v>
      </c>
      <c r="C75" s="136"/>
      <c r="D75" s="136"/>
      <c r="E75" s="136"/>
      <c r="F75" s="136"/>
      <c r="G75" s="78" t="str">
        <f t="shared" si="32"/>
        <v xml:space="preserve"> </v>
      </c>
      <c r="H75" s="106" t="str">
        <f t="shared" si="33"/>
        <v/>
      </c>
      <c r="I75" s="106" t="str">
        <f t="shared" si="34"/>
        <v/>
      </c>
    </row>
    <row r="76" spans="1:10" ht="18" x14ac:dyDescent="0.25">
      <c r="A76" s="28"/>
      <c r="B76" s="41" t="s">
        <v>199</v>
      </c>
      <c r="C76" s="137"/>
      <c r="D76" s="137"/>
      <c r="E76" s="137"/>
      <c r="F76" s="137"/>
      <c r="G76" s="78" t="str">
        <f t="shared" si="32"/>
        <v xml:space="preserve"> </v>
      </c>
      <c r="H76" s="105" t="str">
        <f t="shared" si="33"/>
        <v/>
      </c>
      <c r="I76" s="106" t="str">
        <f t="shared" si="34"/>
        <v/>
      </c>
    </row>
    <row r="77" spans="1:10" ht="18" x14ac:dyDescent="0.25">
      <c r="A77" s="28"/>
      <c r="B77" s="58"/>
      <c r="C77" s="139"/>
      <c r="D77" s="140"/>
      <c r="E77" s="140"/>
      <c r="F77" s="140"/>
      <c r="G77" s="78" t="str">
        <f t="shared" si="32"/>
        <v xml:space="preserve"> </v>
      </c>
      <c r="H77" s="106" t="str">
        <f t="shared" si="33"/>
        <v/>
      </c>
      <c r="I77" s="106" t="str">
        <f t="shared" si="34"/>
        <v/>
      </c>
    </row>
    <row r="78" spans="1:10" ht="18" x14ac:dyDescent="0.25">
      <c r="A78" s="28"/>
      <c r="B78" s="58"/>
      <c r="C78" s="136"/>
      <c r="D78" s="136"/>
      <c r="E78" s="136"/>
      <c r="F78" s="136"/>
      <c r="G78" s="78" t="str">
        <f t="shared" si="32"/>
        <v xml:space="preserve"> </v>
      </c>
      <c r="H78" s="106" t="str">
        <f t="shared" si="33"/>
        <v/>
      </c>
      <c r="I78" s="106" t="str">
        <f t="shared" si="34"/>
        <v/>
      </c>
    </row>
    <row r="79" spans="1:10" ht="18" x14ac:dyDescent="0.25">
      <c r="A79" s="28"/>
      <c r="B79" s="58"/>
      <c r="C79" s="136"/>
      <c r="D79" s="136"/>
      <c r="E79" s="136"/>
      <c r="F79" s="136"/>
      <c r="G79" s="78" t="str">
        <f t="shared" si="32"/>
        <v xml:space="preserve"> </v>
      </c>
      <c r="H79" s="106" t="str">
        <f t="shared" si="33"/>
        <v/>
      </c>
      <c r="I79" s="106" t="str">
        <f t="shared" si="34"/>
        <v/>
      </c>
    </row>
    <row r="80" spans="1:10" ht="18" x14ac:dyDescent="0.25">
      <c r="A80" s="28"/>
      <c r="B80" s="152" t="s">
        <v>237</v>
      </c>
      <c r="C80" s="153"/>
      <c r="D80" s="153"/>
      <c r="E80" s="153"/>
      <c r="F80" s="153"/>
      <c r="G80" s="154"/>
      <c r="H80" s="113" t="str">
        <f>IF(COUNT(H71:H79)&gt;0,AVERAGE(H71:H79),"")</f>
        <v/>
      </c>
      <c r="I80" s="113" t="str">
        <f>IF(COUNT(I71:I79)&gt;0,AVERAGE(I71:I79),"")</f>
        <v/>
      </c>
    </row>
    <row r="81" spans="1:9" ht="18.95" customHeight="1" x14ac:dyDescent="0.25">
      <c r="A81" s="28"/>
      <c r="B81" s="98" t="s">
        <v>110</v>
      </c>
      <c r="C81" s="103">
        <f>SUM(C82:C87)</f>
        <v>0</v>
      </c>
      <c r="D81" s="103">
        <f t="shared" ref="D81:G81" si="35">SUM(D82:D87)</f>
        <v>0</v>
      </c>
      <c r="E81" s="103">
        <f t="shared" si="35"/>
        <v>0</v>
      </c>
      <c r="F81" s="103">
        <f t="shared" si="35"/>
        <v>0</v>
      </c>
      <c r="G81" s="103">
        <f t="shared" si="35"/>
        <v>0</v>
      </c>
      <c r="H81" s="104"/>
      <c r="I81" s="104"/>
    </row>
    <row r="82" spans="1:9" ht="18" x14ac:dyDescent="0.25">
      <c r="A82" s="28"/>
      <c r="B82" s="60" t="s">
        <v>240</v>
      </c>
      <c r="C82" s="136"/>
      <c r="D82" s="136"/>
      <c r="E82" s="136"/>
      <c r="F82" s="136"/>
      <c r="G82" s="78" t="str">
        <f t="shared" ref="G82:G87" si="36">IF(OR(D82="",E82="",F82="")," ",D82+E82+F82)</f>
        <v xml:space="preserve"> </v>
      </c>
      <c r="H82" s="106" t="str">
        <f t="shared" ref="H82:H87" si="37">IFERROR(MIN(1,G82/C82),"")</f>
        <v/>
      </c>
      <c r="I82" s="106" t="str">
        <f t="shared" ref="I82:I87" si="38">IF(OR(C82=0),"",IFERROR(MIN(1,D82/G82),""))</f>
        <v/>
      </c>
    </row>
    <row r="83" spans="1:9" ht="18" x14ac:dyDescent="0.25">
      <c r="A83" s="28"/>
      <c r="B83" s="60" t="s">
        <v>241</v>
      </c>
      <c r="C83" s="136"/>
      <c r="D83" s="136"/>
      <c r="E83" s="136"/>
      <c r="F83" s="136"/>
      <c r="G83" s="78" t="str">
        <f t="shared" si="36"/>
        <v xml:space="preserve"> </v>
      </c>
      <c r="H83" s="106" t="str">
        <f t="shared" si="37"/>
        <v/>
      </c>
      <c r="I83" s="106" t="str">
        <f t="shared" si="38"/>
        <v/>
      </c>
    </row>
    <row r="84" spans="1:9" ht="18" x14ac:dyDescent="0.25">
      <c r="A84" s="28"/>
      <c r="B84" s="60" t="s">
        <v>242</v>
      </c>
      <c r="C84" s="136"/>
      <c r="D84" s="136"/>
      <c r="E84" s="136"/>
      <c r="F84" s="136"/>
      <c r="G84" s="78" t="str">
        <f t="shared" si="36"/>
        <v xml:space="preserve"> </v>
      </c>
      <c r="H84" s="106" t="str">
        <f t="shared" si="37"/>
        <v/>
      </c>
      <c r="I84" s="106" t="str">
        <f t="shared" si="38"/>
        <v/>
      </c>
    </row>
    <row r="85" spans="1:9" ht="18" x14ac:dyDescent="0.25">
      <c r="A85" s="28"/>
      <c r="B85" s="100" t="s">
        <v>199</v>
      </c>
      <c r="C85" s="137"/>
      <c r="D85" s="137"/>
      <c r="E85" s="137"/>
      <c r="F85" s="137"/>
      <c r="G85" s="81"/>
      <c r="H85" s="114"/>
      <c r="I85" s="106" t="str">
        <f t="shared" si="38"/>
        <v/>
      </c>
    </row>
    <row r="86" spans="1:9" ht="18" x14ac:dyDescent="0.25">
      <c r="A86" s="28"/>
      <c r="B86" s="62"/>
      <c r="C86" s="136"/>
      <c r="D86" s="136"/>
      <c r="E86" s="136"/>
      <c r="F86" s="136"/>
      <c r="G86" s="78" t="str">
        <f t="shared" si="36"/>
        <v xml:space="preserve"> </v>
      </c>
      <c r="H86" s="106" t="str">
        <f t="shared" si="37"/>
        <v/>
      </c>
      <c r="I86" s="106" t="str">
        <f t="shared" si="38"/>
        <v/>
      </c>
    </row>
    <row r="87" spans="1:9" ht="18" x14ac:dyDescent="0.25">
      <c r="A87" s="28"/>
      <c r="B87" s="58"/>
      <c r="C87" s="136"/>
      <c r="D87" s="136"/>
      <c r="E87" s="136"/>
      <c r="F87" s="136"/>
      <c r="G87" s="78" t="str">
        <f t="shared" si="36"/>
        <v xml:space="preserve"> </v>
      </c>
      <c r="H87" s="106" t="str">
        <f t="shared" si="37"/>
        <v/>
      </c>
      <c r="I87" s="106" t="str">
        <f t="shared" si="38"/>
        <v/>
      </c>
    </row>
    <row r="88" spans="1:9" ht="18" x14ac:dyDescent="0.25">
      <c r="A88" s="28"/>
      <c r="B88" s="152" t="s">
        <v>237</v>
      </c>
      <c r="C88" s="153"/>
      <c r="D88" s="153"/>
      <c r="E88" s="153"/>
      <c r="F88" s="153"/>
      <c r="G88" s="154"/>
      <c r="H88" s="113" t="str">
        <f>IF(COUNT(H82:H87)&gt;0,AVERAGE(H82:H87),"")</f>
        <v/>
      </c>
      <c r="I88" s="113" t="str">
        <f>IF(COUNT(I82:I87)&gt;0,AVERAGE(I82:I87),"")</f>
        <v/>
      </c>
    </row>
    <row r="89" spans="1:9" ht="18.95" customHeight="1" x14ac:dyDescent="0.25">
      <c r="A89" s="28"/>
      <c r="B89" s="98" t="s">
        <v>111</v>
      </c>
      <c r="C89" s="103">
        <f>SUM(C90:C96)</f>
        <v>0</v>
      </c>
      <c r="D89" s="103">
        <f t="shared" ref="D89:G89" si="39">SUM(D90:D96)</f>
        <v>0</v>
      </c>
      <c r="E89" s="103">
        <f t="shared" si="39"/>
        <v>0</v>
      </c>
      <c r="F89" s="103">
        <f t="shared" si="39"/>
        <v>0</v>
      </c>
      <c r="G89" s="115">
        <f t="shared" si="39"/>
        <v>0</v>
      </c>
      <c r="H89" s="109"/>
      <c r="I89" s="109"/>
    </row>
    <row r="90" spans="1:9" ht="18" x14ac:dyDescent="0.25">
      <c r="A90" s="28"/>
      <c r="B90" s="60" t="s">
        <v>243</v>
      </c>
      <c r="C90" s="130"/>
      <c r="D90" s="130"/>
      <c r="E90" s="130"/>
      <c r="F90" s="130"/>
      <c r="G90" s="78" t="str">
        <f t="shared" ref="G90:G96" si="40">IF(OR(D90="",E90="",F90="")," ",D90+E90+F90)</f>
        <v xml:space="preserve"> </v>
      </c>
      <c r="H90" s="106" t="str">
        <f t="shared" ref="H90:H96" si="41">IFERROR(MIN(1,G90/C90),"")</f>
        <v/>
      </c>
      <c r="I90" s="106" t="str">
        <f t="shared" ref="I90:I96" si="42">IF(OR(C90=0),"",IFERROR(MIN(1,D90/G90),""))</f>
        <v/>
      </c>
    </row>
    <row r="91" spans="1:9" ht="18" x14ac:dyDescent="0.25">
      <c r="A91" s="28"/>
      <c r="B91" s="60" t="s">
        <v>243</v>
      </c>
      <c r="C91" s="130"/>
      <c r="D91" s="130"/>
      <c r="E91" s="130"/>
      <c r="F91" s="130"/>
      <c r="G91" s="78" t="str">
        <f t="shared" si="40"/>
        <v xml:space="preserve"> </v>
      </c>
      <c r="H91" s="106" t="str">
        <f t="shared" si="41"/>
        <v/>
      </c>
      <c r="I91" s="106" t="str">
        <f t="shared" si="42"/>
        <v/>
      </c>
    </row>
    <row r="92" spans="1:9" ht="18" x14ac:dyDescent="0.25">
      <c r="A92" s="28"/>
      <c r="B92" s="100" t="s">
        <v>199</v>
      </c>
      <c r="C92" s="131"/>
      <c r="D92" s="131"/>
      <c r="E92" s="131"/>
      <c r="F92" s="131"/>
      <c r="G92" s="81"/>
      <c r="H92" s="114"/>
      <c r="I92" s="106" t="str">
        <f t="shared" si="42"/>
        <v/>
      </c>
    </row>
    <row r="93" spans="1:9" ht="18" x14ac:dyDescent="0.25">
      <c r="A93" s="28"/>
      <c r="B93" s="58"/>
      <c r="C93" s="130"/>
      <c r="D93" s="130"/>
      <c r="E93" s="130"/>
      <c r="F93" s="130"/>
      <c r="G93" s="78" t="str">
        <f t="shared" si="40"/>
        <v xml:space="preserve"> </v>
      </c>
      <c r="H93" s="106" t="str">
        <f t="shared" si="41"/>
        <v/>
      </c>
      <c r="I93" s="106" t="str">
        <f t="shared" si="42"/>
        <v/>
      </c>
    </row>
    <row r="94" spans="1:9" ht="18" x14ac:dyDescent="0.25">
      <c r="A94" s="28"/>
      <c r="B94" s="58"/>
      <c r="C94" s="130"/>
      <c r="D94" s="130"/>
      <c r="E94" s="130"/>
      <c r="F94" s="130"/>
      <c r="G94" s="78" t="str">
        <f t="shared" si="40"/>
        <v xml:space="preserve"> </v>
      </c>
      <c r="H94" s="106" t="str">
        <f t="shared" si="41"/>
        <v/>
      </c>
      <c r="I94" s="106" t="str">
        <f t="shared" si="42"/>
        <v/>
      </c>
    </row>
    <row r="95" spans="1:9" ht="18" x14ac:dyDescent="0.25">
      <c r="A95" s="28"/>
      <c r="B95" s="61"/>
      <c r="C95" s="130"/>
      <c r="D95" s="130"/>
      <c r="E95" s="130"/>
      <c r="F95" s="130"/>
      <c r="G95" s="78" t="str">
        <f t="shared" si="40"/>
        <v xml:space="preserve"> </v>
      </c>
      <c r="H95" s="106" t="str">
        <f t="shared" si="41"/>
        <v/>
      </c>
      <c r="I95" s="106" t="str">
        <f t="shared" si="42"/>
        <v/>
      </c>
    </row>
    <row r="96" spans="1:9" ht="18" x14ac:dyDescent="0.25">
      <c r="A96" s="28"/>
      <c r="B96" s="58"/>
      <c r="C96" s="130"/>
      <c r="D96" s="130"/>
      <c r="E96" s="130"/>
      <c r="F96" s="130"/>
      <c r="G96" s="78" t="str">
        <f t="shared" si="40"/>
        <v xml:space="preserve"> </v>
      </c>
      <c r="H96" s="106" t="str">
        <f t="shared" si="41"/>
        <v/>
      </c>
      <c r="I96" s="106" t="str">
        <f t="shared" si="42"/>
        <v/>
      </c>
    </row>
    <row r="97" spans="1:9" ht="18" x14ac:dyDescent="0.25">
      <c r="A97" s="28"/>
      <c r="B97" s="152" t="s">
        <v>237</v>
      </c>
      <c r="C97" s="153"/>
      <c r="D97" s="153"/>
      <c r="E97" s="153"/>
      <c r="F97" s="153"/>
      <c r="G97" s="154"/>
      <c r="H97" s="113" t="str">
        <f>IF(COUNT(H90:H96)&gt;0,AVERAGE(H90:H96),"")</f>
        <v/>
      </c>
      <c r="I97" s="113" t="str">
        <f>IF(COUNT(I90:I96)&gt;0,AVERAGE(I90:I96),"")</f>
        <v/>
      </c>
    </row>
    <row r="98" spans="1:9" ht="18.95" customHeight="1" x14ac:dyDescent="0.25">
      <c r="A98" s="28"/>
      <c r="B98" s="116" t="s">
        <v>176</v>
      </c>
      <c r="C98" s="128">
        <f>SUM(C99:C133)</f>
        <v>0</v>
      </c>
      <c r="D98" s="128">
        <f t="shared" ref="D98:G98" si="43">SUM(D99:D133)</f>
        <v>0</v>
      </c>
      <c r="E98" s="128">
        <f t="shared" si="43"/>
        <v>0</v>
      </c>
      <c r="F98" s="128">
        <f t="shared" si="43"/>
        <v>0</v>
      </c>
      <c r="G98" s="102">
        <f t="shared" si="43"/>
        <v>0</v>
      </c>
      <c r="H98" s="101"/>
      <c r="I98" s="101"/>
    </row>
    <row r="99" spans="1:9" ht="18" x14ac:dyDescent="0.25">
      <c r="A99" s="28"/>
      <c r="B99" s="42" t="s">
        <v>57</v>
      </c>
      <c r="C99" s="136"/>
      <c r="D99" s="136"/>
      <c r="E99" s="136"/>
      <c r="F99" s="136"/>
      <c r="G99" s="78" t="str">
        <f t="shared" ref="G99:G133" si="44">IF(OR(D99="",E99="",F99="")," ",D99+E99+F99)</f>
        <v xml:space="preserve"> </v>
      </c>
      <c r="H99" s="117" t="str">
        <f t="shared" ref="H99:H133" si="45">IFERROR(MIN(1,G99/C99),"")</f>
        <v/>
      </c>
      <c r="I99" s="117" t="str">
        <f t="shared" ref="I99:I133" si="46">IF(OR(C99=0),"",IFERROR(MIN(1,D99/G99),""))</f>
        <v/>
      </c>
    </row>
    <row r="100" spans="1:9" ht="18" x14ac:dyDescent="0.25">
      <c r="A100" s="28"/>
      <c r="B100" s="42" t="s">
        <v>125</v>
      </c>
      <c r="C100" s="136"/>
      <c r="D100" s="136"/>
      <c r="E100" s="136"/>
      <c r="F100" s="136"/>
      <c r="G100" s="78" t="str">
        <f t="shared" si="44"/>
        <v xml:space="preserve"> </v>
      </c>
      <c r="H100" s="117" t="str">
        <f t="shared" si="45"/>
        <v/>
      </c>
      <c r="I100" s="117" t="str">
        <f t="shared" si="46"/>
        <v/>
      </c>
    </row>
    <row r="101" spans="1:9" ht="18" x14ac:dyDescent="0.25">
      <c r="A101" s="28"/>
      <c r="B101" s="42" t="s">
        <v>126</v>
      </c>
      <c r="C101" s="136"/>
      <c r="D101" s="136"/>
      <c r="E101" s="136"/>
      <c r="F101" s="136"/>
      <c r="G101" s="78" t="str">
        <f t="shared" si="44"/>
        <v xml:space="preserve"> </v>
      </c>
      <c r="H101" s="117" t="str">
        <f t="shared" si="45"/>
        <v/>
      </c>
      <c r="I101" s="117" t="str">
        <f t="shared" si="46"/>
        <v/>
      </c>
    </row>
    <row r="102" spans="1:9" ht="18" x14ac:dyDescent="0.25">
      <c r="A102" s="28"/>
      <c r="B102" s="42" t="s">
        <v>127</v>
      </c>
      <c r="C102" s="136"/>
      <c r="D102" s="136"/>
      <c r="E102" s="136"/>
      <c r="F102" s="136"/>
      <c r="G102" s="78" t="str">
        <f t="shared" si="44"/>
        <v xml:space="preserve"> </v>
      </c>
      <c r="H102" s="117" t="str">
        <f t="shared" si="45"/>
        <v/>
      </c>
      <c r="I102" s="117" t="str">
        <f t="shared" si="46"/>
        <v/>
      </c>
    </row>
    <row r="103" spans="1:9" ht="18" x14ac:dyDescent="0.25">
      <c r="A103" s="28"/>
      <c r="B103" s="43" t="s">
        <v>177</v>
      </c>
      <c r="C103" s="136"/>
      <c r="D103" s="136"/>
      <c r="E103" s="136"/>
      <c r="F103" s="136"/>
      <c r="G103" s="78" t="str">
        <f t="shared" si="44"/>
        <v xml:space="preserve"> </v>
      </c>
      <c r="H103" s="117" t="str">
        <f t="shared" si="45"/>
        <v/>
      </c>
      <c r="I103" s="117" t="str">
        <f t="shared" si="46"/>
        <v/>
      </c>
    </row>
    <row r="104" spans="1:9" ht="18" x14ac:dyDescent="0.25">
      <c r="A104" s="28"/>
      <c r="B104" s="42" t="s">
        <v>94</v>
      </c>
      <c r="C104" s="139"/>
      <c r="D104" s="140"/>
      <c r="E104" s="140"/>
      <c r="F104" s="140"/>
      <c r="G104" s="78" t="str">
        <f t="shared" si="44"/>
        <v xml:space="preserve"> </v>
      </c>
      <c r="H104" s="117" t="str">
        <f t="shared" si="45"/>
        <v/>
      </c>
      <c r="I104" s="117" t="str">
        <f t="shared" si="46"/>
        <v/>
      </c>
    </row>
    <row r="105" spans="1:9" ht="18" x14ac:dyDescent="0.25">
      <c r="A105" s="28"/>
      <c r="B105" s="42" t="s">
        <v>95</v>
      </c>
      <c r="C105" s="136"/>
      <c r="D105" s="136"/>
      <c r="E105" s="136"/>
      <c r="F105" s="136"/>
      <c r="G105" s="78" t="str">
        <f t="shared" si="44"/>
        <v xml:space="preserve"> </v>
      </c>
      <c r="H105" s="117" t="str">
        <f t="shared" si="45"/>
        <v/>
      </c>
      <c r="I105" s="117" t="str">
        <f t="shared" si="46"/>
        <v/>
      </c>
    </row>
    <row r="106" spans="1:9" ht="18" x14ac:dyDescent="0.25">
      <c r="A106" s="28"/>
      <c r="B106" s="42" t="s">
        <v>96</v>
      </c>
      <c r="C106" s="136"/>
      <c r="D106" s="136"/>
      <c r="E106" s="136"/>
      <c r="F106" s="136"/>
      <c r="G106" s="78" t="str">
        <f t="shared" si="44"/>
        <v xml:space="preserve"> </v>
      </c>
      <c r="H106" s="117" t="str">
        <f t="shared" si="45"/>
        <v/>
      </c>
      <c r="I106" s="117" t="str">
        <f t="shared" si="46"/>
        <v/>
      </c>
    </row>
    <row r="107" spans="1:9" ht="18" x14ac:dyDescent="0.25">
      <c r="A107" s="28"/>
      <c r="B107" s="42" t="s">
        <v>87</v>
      </c>
      <c r="C107" s="136"/>
      <c r="D107" s="136"/>
      <c r="E107" s="136"/>
      <c r="F107" s="136"/>
      <c r="G107" s="78" t="str">
        <f t="shared" si="44"/>
        <v xml:space="preserve"> </v>
      </c>
      <c r="H107" s="117" t="str">
        <f t="shared" si="45"/>
        <v/>
      </c>
      <c r="I107" s="117" t="str">
        <f t="shared" si="46"/>
        <v/>
      </c>
    </row>
    <row r="108" spans="1:9" ht="18" x14ac:dyDescent="0.25">
      <c r="A108" s="28"/>
      <c r="B108" s="42" t="s">
        <v>128</v>
      </c>
      <c r="C108" s="136"/>
      <c r="D108" s="136"/>
      <c r="E108" s="136"/>
      <c r="F108" s="136"/>
      <c r="G108" s="78" t="str">
        <f t="shared" si="44"/>
        <v xml:space="preserve"> </v>
      </c>
      <c r="H108" s="117" t="str">
        <f t="shared" si="45"/>
        <v/>
      </c>
      <c r="I108" s="117" t="str">
        <f t="shared" si="46"/>
        <v/>
      </c>
    </row>
    <row r="109" spans="1:9" ht="18" x14ac:dyDescent="0.25">
      <c r="A109" s="28"/>
      <c r="B109" s="42" t="s">
        <v>129</v>
      </c>
      <c r="C109" s="139"/>
      <c r="D109" s="140"/>
      <c r="E109" s="140"/>
      <c r="F109" s="140"/>
      <c r="G109" s="78" t="str">
        <f t="shared" si="44"/>
        <v xml:space="preserve"> </v>
      </c>
      <c r="H109" s="117" t="str">
        <f t="shared" si="45"/>
        <v/>
      </c>
      <c r="I109" s="117" t="str">
        <f t="shared" si="46"/>
        <v/>
      </c>
    </row>
    <row r="110" spans="1:9" ht="18" x14ac:dyDescent="0.25">
      <c r="A110" s="28"/>
      <c r="B110" s="55" t="s">
        <v>85</v>
      </c>
      <c r="C110" s="136"/>
      <c r="D110" s="136"/>
      <c r="E110" s="136"/>
      <c r="F110" s="136"/>
      <c r="G110" s="78" t="str">
        <f t="shared" si="44"/>
        <v xml:space="preserve"> </v>
      </c>
      <c r="H110" s="117" t="str">
        <f t="shared" si="45"/>
        <v/>
      </c>
      <c r="I110" s="117" t="str">
        <f t="shared" si="46"/>
        <v/>
      </c>
    </row>
    <row r="111" spans="1:9" ht="18" x14ac:dyDescent="0.25">
      <c r="A111" s="28"/>
      <c r="B111" s="42" t="s">
        <v>91</v>
      </c>
      <c r="C111" s="136"/>
      <c r="D111" s="136"/>
      <c r="E111" s="136"/>
      <c r="F111" s="136"/>
      <c r="G111" s="78" t="str">
        <f t="shared" si="44"/>
        <v xml:space="preserve"> </v>
      </c>
      <c r="H111" s="117" t="str">
        <f t="shared" si="45"/>
        <v/>
      </c>
      <c r="I111" s="117" t="str">
        <f t="shared" si="46"/>
        <v/>
      </c>
    </row>
    <row r="112" spans="1:9" ht="18" x14ac:dyDescent="0.25">
      <c r="A112" s="28"/>
      <c r="B112" s="42" t="s">
        <v>92</v>
      </c>
      <c r="C112" s="136"/>
      <c r="D112" s="136"/>
      <c r="E112" s="136"/>
      <c r="F112" s="136"/>
      <c r="G112" s="78" t="str">
        <f t="shared" si="44"/>
        <v xml:space="preserve"> </v>
      </c>
      <c r="H112" s="117" t="str">
        <f t="shared" si="45"/>
        <v/>
      </c>
      <c r="I112" s="117" t="str">
        <f t="shared" si="46"/>
        <v/>
      </c>
    </row>
    <row r="113" spans="1:9" ht="18" x14ac:dyDescent="0.25">
      <c r="A113" s="28"/>
      <c r="B113" s="42" t="s">
        <v>93</v>
      </c>
      <c r="C113" s="136"/>
      <c r="D113" s="136"/>
      <c r="E113" s="136"/>
      <c r="F113" s="136"/>
      <c r="G113" s="78" t="str">
        <f t="shared" si="44"/>
        <v xml:space="preserve"> </v>
      </c>
      <c r="H113" s="117" t="str">
        <f t="shared" si="45"/>
        <v/>
      </c>
      <c r="I113" s="117" t="str">
        <f t="shared" si="46"/>
        <v/>
      </c>
    </row>
    <row r="114" spans="1:9" ht="18" x14ac:dyDescent="0.25">
      <c r="A114" s="28"/>
      <c r="B114" s="42" t="s">
        <v>84</v>
      </c>
      <c r="C114" s="136"/>
      <c r="D114" s="136"/>
      <c r="E114" s="136"/>
      <c r="F114" s="136"/>
      <c r="G114" s="78" t="str">
        <f t="shared" si="44"/>
        <v xml:space="preserve"> </v>
      </c>
      <c r="H114" s="117" t="str">
        <f t="shared" si="45"/>
        <v/>
      </c>
      <c r="I114" s="117" t="str">
        <f t="shared" si="46"/>
        <v/>
      </c>
    </row>
    <row r="115" spans="1:9" ht="18" x14ac:dyDescent="0.25">
      <c r="A115" s="28"/>
      <c r="B115" s="42" t="s">
        <v>86</v>
      </c>
      <c r="C115" s="136"/>
      <c r="D115" s="136"/>
      <c r="E115" s="136"/>
      <c r="F115" s="136"/>
      <c r="G115" s="78" t="str">
        <f t="shared" si="44"/>
        <v xml:space="preserve"> </v>
      </c>
      <c r="H115" s="117" t="str">
        <f t="shared" si="45"/>
        <v/>
      </c>
      <c r="I115" s="117" t="str">
        <f t="shared" si="46"/>
        <v/>
      </c>
    </row>
    <row r="116" spans="1:9" ht="18" x14ac:dyDescent="0.25">
      <c r="A116" s="28"/>
      <c r="B116" s="42" t="s">
        <v>89</v>
      </c>
      <c r="C116" s="136"/>
      <c r="D116" s="136"/>
      <c r="E116" s="136"/>
      <c r="F116" s="136"/>
      <c r="G116" s="78" t="str">
        <f t="shared" si="44"/>
        <v xml:space="preserve"> </v>
      </c>
      <c r="H116" s="117" t="str">
        <f t="shared" si="45"/>
        <v/>
      </c>
      <c r="I116" s="117" t="str">
        <f t="shared" si="46"/>
        <v/>
      </c>
    </row>
    <row r="117" spans="1:9" ht="18" x14ac:dyDescent="0.25">
      <c r="A117" s="28"/>
      <c r="B117" s="42" t="s">
        <v>58</v>
      </c>
      <c r="C117" s="136"/>
      <c r="D117" s="136"/>
      <c r="E117" s="136"/>
      <c r="F117" s="136"/>
      <c r="G117" s="78" t="str">
        <f t="shared" si="44"/>
        <v xml:space="preserve"> </v>
      </c>
      <c r="H117" s="117" t="str">
        <f t="shared" si="45"/>
        <v/>
      </c>
      <c r="I117" s="117" t="str">
        <f t="shared" si="46"/>
        <v/>
      </c>
    </row>
    <row r="118" spans="1:9" ht="18" x14ac:dyDescent="0.25">
      <c r="A118" s="28"/>
      <c r="B118" s="44" t="s">
        <v>168</v>
      </c>
      <c r="C118" s="136"/>
      <c r="D118" s="136"/>
      <c r="E118" s="136"/>
      <c r="F118" s="136"/>
      <c r="G118" s="78" t="str">
        <f t="shared" si="44"/>
        <v xml:space="preserve"> </v>
      </c>
      <c r="H118" s="117" t="str">
        <f t="shared" si="45"/>
        <v/>
      </c>
      <c r="I118" s="117" t="str">
        <f t="shared" si="46"/>
        <v/>
      </c>
    </row>
    <row r="119" spans="1:9" ht="18" x14ac:dyDescent="0.25">
      <c r="A119" s="28"/>
      <c r="B119" s="42" t="s">
        <v>75</v>
      </c>
      <c r="C119" s="136"/>
      <c r="D119" s="136"/>
      <c r="E119" s="136"/>
      <c r="F119" s="136"/>
      <c r="G119" s="78" t="str">
        <f t="shared" si="44"/>
        <v xml:space="preserve"> </v>
      </c>
      <c r="H119" s="117" t="str">
        <f t="shared" si="45"/>
        <v/>
      </c>
      <c r="I119" s="117" t="str">
        <f t="shared" si="46"/>
        <v/>
      </c>
    </row>
    <row r="120" spans="1:9" ht="18" x14ac:dyDescent="0.25">
      <c r="A120" s="28"/>
      <c r="B120" s="42" t="s">
        <v>76</v>
      </c>
      <c r="C120" s="136"/>
      <c r="D120" s="136"/>
      <c r="E120" s="136"/>
      <c r="F120" s="136"/>
      <c r="G120" s="78" t="str">
        <f t="shared" si="44"/>
        <v xml:space="preserve"> </v>
      </c>
      <c r="H120" s="117" t="str">
        <f t="shared" si="45"/>
        <v/>
      </c>
      <c r="I120" s="117" t="str">
        <f t="shared" si="46"/>
        <v/>
      </c>
    </row>
    <row r="121" spans="1:9" ht="18" x14ac:dyDescent="0.25">
      <c r="A121" s="28"/>
      <c r="B121" s="43" t="s">
        <v>82</v>
      </c>
      <c r="C121" s="136"/>
      <c r="D121" s="136"/>
      <c r="E121" s="136"/>
      <c r="F121" s="136"/>
      <c r="G121" s="78" t="str">
        <f t="shared" si="44"/>
        <v xml:space="preserve"> </v>
      </c>
      <c r="H121" s="117" t="str">
        <f t="shared" si="45"/>
        <v/>
      </c>
      <c r="I121" s="117" t="str">
        <f t="shared" si="46"/>
        <v/>
      </c>
    </row>
    <row r="122" spans="1:9" ht="18" x14ac:dyDescent="0.25">
      <c r="A122" s="28"/>
      <c r="B122" s="41" t="s">
        <v>199</v>
      </c>
      <c r="C122" s="137"/>
      <c r="D122" s="137"/>
      <c r="E122" s="137"/>
      <c r="F122" s="137"/>
      <c r="G122" s="78" t="str">
        <f t="shared" si="44"/>
        <v xml:space="preserve"> </v>
      </c>
      <c r="H122" s="117" t="str">
        <f t="shared" si="45"/>
        <v/>
      </c>
      <c r="I122" s="117" t="str">
        <f t="shared" si="46"/>
        <v/>
      </c>
    </row>
    <row r="123" spans="1:9" ht="18" x14ac:dyDescent="0.25">
      <c r="A123" s="28"/>
      <c r="B123" s="58"/>
      <c r="C123" s="136"/>
      <c r="D123" s="136"/>
      <c r="E123" s="136"/>
      <c r="F123" s="136"/>
      <c r="G123" s="78" t="str">
        <f t="shared" si="44"/>
        <v xml:space="preserve"> </v>
      </c>
      <c r="H123" s="117" t="str">
        <f t="shared" si="45"/>
        <v/>
      </c>
      <c r="I123" s="117" t="str">
        <f t="shared" si="46"/>
        <v/>
      </c>
    </row>
    <row r="124" spans="1:9" ht="18" x14ac:dyDescent="0.25">
      <c r="A124" s="28"/>
      <c r="B124" s="58"/>
      <c r="C124" s="136"/>
      <c r="D124" s="136"/>
      <c r="E124" s="136"/>
      <c r="F124" s="136"/>
      <c r="G124" s="78" t="str">
        <f t="shared" si="44"/>
        <v xml:space="preserve"> </v>
      </c>
      <c r="H124" s="117" t="str">
        <f t="shared" si="45"/>
        <v/>
      </c>
      <c r="I124" s="117" t="str">
        <f t="shared" si="46"/>
        <v/>
      </c>
    </row>
    <row r="125" spans="1:9" ht="18" x14ac:dyDescent="0.25">
      <c r="A125" s="28"/>
      <c r="B125" s="58"/>
      <c r="C125" s="136"/>
      <c r="D125" s="136"/>
      <c r="E125" s="136"/>
      <c r="F125" s="136"/>
      <c r="G125" s="78" t="str">
        <f t="shared" si="44"/>
        <v xml:space="preserve"> </v>
      </c>
      <c r="H125" s="117" t="str">
        <f t="shared" si="45"/>
        <v/>
      </c>
      <c r="I125" s="117" t="str">
        <f t="shared" si="46"/>
        <v/>
      </c>
    </row>
    <row r="126" spans="1:9" ht="18" x14ac:dyDescent="0.25">
      <c r="A126" s="28"/>
      <c r="B126" s="58"/>
      <c r="C126" s="136"/>
      <c r="D126" s="136"/>
      <c r="E126" s="136"/>
      <c r="F126" s="136"/>
      <c r="G126" s="78" t="str">
        <f t="shared" si="44"/>
        <v xml:space="preserve"> </v>
      </c>
      <c r="H126" s="117" t="str">
        <f t="shared" si="45"/>
        <v/>
      </c>
      <c r="I126" s="117" t="str">
        <f t="shared" si="46"/>
        <v/>
      </c>
    </row>
    <row r="127" spans="1:9" ht="18" x14ac:dyDescent="0.25">
      <c r="A127" s="28"/>
      <c r="B127" s="58"/>
      <c r="C127" s="136"/>
      <c r="D127" s="136"/>
      <c r="E127" s="136"/>
      <c r="F127" s="136"/>
      <c r="G127" s="78" t="str">
        <f t="shared" si="44"/>
        <v xml:space="preserve"> </v>
      </c>
      <c r="H127" s="117" t="str">
        <f t="shared" si="45"/>
        <v/>
      </c>
      <c r="I127" s="117" t="str">
        <f t="shared" si="46"/>
        <v/>
      </c>
    </row>
    <row r="128" spans="1:9" ht="18" x14ac:dyDescent="0.25">
      <c r="A128" s="28"/>
      <c r="B128" s="58"/>
      <c r="C128" s="136"/>
      <c r="D128" s="136"/>
      <c r="E128" s="136"/>
      <c r="F128" s="136"/>
      <c r="G128" s="78" t="str">
        <f t="shared" si="44"/>
        <v xml:space="preserve"> </v>
      </c>
      <c r="H128" s="117" t="str">
        <f t="shared" si="45"/>
        <v/>
      </c>
      <c r="I128" s="117" t="str">
        <f t="shared" si="46"/>
        <v/>
      </c>
    </row>
    <row r="129" spans="1:9" ht="18" x14ac:dyDescent="0.25">
      <c r="A129" s="28"/>
      <c r="B129" s="58"/>
      <c r="C129" s="136"/>
      <c r="D129" s="136"/>
      <c r="E129" s="136"/>
      <c r="F129" s="136"/>
      <c r="G129" s="78" t="str">
        <f t="shared" si="44"/>
        <v xml:space="preserve"> </v>
      </c>
      <c r="H129" s="117" t="str">
        <f t="shared" si="45"/>
        <v/>
      </c>
      <c r="I129" s="117" t="str">
        <f t="shared" si="46"/>
        <v/>
      </c>
    </row>
    <row r="130" spans="1:9" ht="18" x14ac:dyDescent="0.25">
      <c r="A130" s="28"/>
      <c r="B130" s="58"/>
      <c r="C130" s="136"/>
      <c r="D130" s="136"/>
      <c r="E130" s="136"/>
      <c r="F130" s="136"/>
      <c r="G130" s="78" t="str">
        <f t="shared" si="44"/>
        <v xml:space="preserve"> </v>
      </c>
      <c r="H130" s="117" t="str">
        <f t="shared" si="45"/>
        <v/>
      </c>
      <c r="I130" s="117" t="str">
        <f t="shared" si="46"/>
        <v/>
      </c>
    </row>
    <row r="131" spans="1:9" ht="18" x14ac:dyDescent="0.25">
      <c r="A131" s="28"/>
      <c r="B131" s="58"/>
      <c r="C131" s="136"/>
      <c r="D131" s="136"/>
      <c r="E131" s="136"/>
      <c r="F131" s="136"/>
      <c r="G131" s="78" t="str">
        <f t="shared" si="44"/>
        <v xml:space="preserve"> </v>
      </c>
      <c r="H131" s="117" t="str">
        <f t="shared" si="45"/>
        <v/>
      </c>
      <c r="I131" s="117" t="str">
        <f t="shared" si="46"/>
        <v/>
      </c>
    </row>
    <row r="132" spans="1:9" ht="18" x14ac:dyDescent="0.25">
      <c r="A132" s="28"/>
      <c r="B132" s="58"/>
      <c r="C132" s="136"/>
      <c r="D132" s="136"/>
      <c r="E132" s="136"/>
      <c r="F132" s="136"/>
      <c r="G132" s="78" t="str">
        <f t="shared" si="44"/>
        <v xml:space="preserve"> </v>
      </c>
      <c r="H132" s="117" t="str">
        <f t="shared" si="45"/>
        <v/>
      </c>
      <c r="I132" s="117" t="str">
        <f t="shared" si="46"/>
        <v/>
      </c>
    </row>
    <row r="133" spans="1:9" ht="18" x14ac:dyDescent="0.25">
      <c r="A133" s="28"/>
      <c r="B133" s="59"/>
      <c r="C133" s="136"/>
      <c r="D133" s="136"/>
      <c r="E133" s="136"/>
      <c r="F133" s="136"/>
      <c r="G133" s="78" t="str">
        <f t="shared" si="44"/>
        <v xml:space="preserve"> </v>
      </c>
      <c r="H133" s="117" t="str">
        <f t="shared" si="45"/>
        <v/>
      </c>
      <c r="I133" s="117" t="str">
        <f t="shared" si="46"/>
        <v/>
      </c>
    </row>
    <row r="134" spans="1:9" ht="18" x14ac:dyDescent="0.25">
      <c r="A134" s="28"/>
      <c r="B134" s="152" t="s">
        <v>237</v>
      </c>
      <c r="C134" s="153"/>
      <c r="D134" s="153"/>
      <c r="E134" s="153"/>
      <c r="F134" s="153"/>
      <c r="G134" s="154"/>
      <c r="H134" s="118" t="str">
        <f>IF(COUNT(H99:H133)&gt;0,AVERAGE(H99:H133),"")</f>
        <v/>
      </c>
      <c r="I134" s="118" t="str">
        <f>IF(COUNT(I99:I133)&gt;0,AVERAGE(I99:I133),"")</f>
        <v/>
      </c>
    </row>
    <row r="135" spans="1:9" ht="18.95" customHeight="1" x14ac:dyDescent="0.25">
      <c r="A135" s="28"/>
      <c r="B135" s="116" t="s">
        <v>157</v>
      </c>
      <c r="C135" s="102">
        <f>SUM(C136:C139)</f>
        <v>0</v>
      </c>
      <c r="D135" s="102">
        <f t="shared" ref="D135:G135" si="47">SUM(D136:D139)</f>
        <v>0</v>
      </c>
      <c r="E135" s="102">
        <f t="shared" si="47"/>
        <v>0</v>
      </c>
      <c r="F135" s="102">
        <f t="shared" si="47"/>
        <v>0</v>
      </c>
      <c r="G135" s="102">
        <f t="shared" si="47"/>
        <v>0</v>
      </c>
      <c r="H135" s="101"/>
      <c r="I135" s="101"/>
    </row>
    <row r="136" spans="1:9" ht="18.75" x14ac:dyDescent="0.3">
      <c r="A136" s="28"/>
      <c r="B136" s="42" t="s">
        <v>183</v>
      </c>
      <c r="C136" s="130"/>
      <c r="D136" s="130"/>
      <c r="E136" s="130"/>
      <c r="F136" s="130"/>
      <c r="G136" s="79" t="str">
        <f t="shared" ref="G136:G139" si="48">IF(OR(D136="",E136="",F136="")," ",D136+E136+F136)</f>
        <v xml:space="preserve"> </v>
      </c>
      <c r="H136" s="119" t="str">
        <f t="shared" ref="H136:H139" si="49">IFERROR(MIN(1,G136/C136),"")</f>
        <v/>
      </c>
      <c r="I136" s="119" t="str">
        <f t="shared" ref="I136:I139" si="50">IF(OR(C136=0),"",IFERROR(MIN(1,D136/G136),""))</f>
        <v/>
      </c>
    </row>
    <row r="137" spans="1:9" ht="18.75" x14ac:dyDescent="0.3">
      <c r="A137" s="28"/>
      <c r="B137" s="41" t="s">
        <v>199</v>
      </c>
      <c r="C137" s="135"/>
      <c r="D137" s="135"/>
      <c r="E137" s="135"/>
      <c r="F137" s="135"/>
      <c r="G137" s="79" t="str">
        <f t="shared" si="48"/>
        <v xml:space="preserve"> </v>
      </c>
      <c r="H137" s="120" t="str">
        <f t="shared" si="49"/>
        <v/>
      </c>
      <c r="I137" s="119" t="str">
        <f t="shared" si="50"/>
        <v/>
      </c>
    </row>
    <row r="138" spans="1:9" ht="18.75" x14ac:dyDescent="0.3">
      <c r="A138" s="28"/>
      <c r="B138" s="58">
        <v>1</v>
      </c>
      <c r="C138" s="130"/>
      <c r="D138" s="130"/>
      <c r="E138" s="130"/>
      <c r="F138" s="130"/>
      <c r="G138" s="79" t="str">
        <f t="shared" si="48"/>
        <v xml:space="preserve"> </v>
      </c>
      <c r="H138" s="119" t="str">
        <f t="shared" si="49"/>
        <v/>
      </c>
      <c r="I138" s="119" t="str">
        <f t="shared" si="50"/>
        <v/>
      </c>
    </row>
    <row r="139" spans="1:9" ht="18.75" x14ac:dyDescent="0.3">
      <c r="A139" s="28"/>
      <c r="B139" s="58"/>
      <c r="C139" s="130"/>
      <c r="D139" s="130"/>
      <c r="E139" s="130"/>
      <c r="F139" s="130"/>
      <c r="G139" s="79" t="str">
        <f t="shared" si="48"/>
        <v xml:space="preserve"> </v>
      </c>
      <c r="H139" s="119" t="str">
        <f t="shared" si="49"/>
        <v/>
      </c>
      <c r="I139" s="119" t="str">
        <f t="shared" si="50"/>
        <v/>
      </c>
    </row>
    <row r="140" spans="1:9" ht="18" x14ac:dyDescent="0.25">
      <c r="A140" s="28"/>
      <c r="B140" s="152" t="s">
        <v>237</v>
      </c>
      <c r="C140" s="153"/>
      <c r="D140" s="153"/>
      <c r="E140" s="153"/>
      <c r="F140" s="153"/>
      <c r="G140" s="154"/>
      <c r="H140" s="113" t="str">
        <f>IF(COUNT(H136:H139)&gt;0,AVERAGE(H136:H139),"")</f>
        <v/>
      </c>
      <c r="I140" s="113" t="str">
        <f>IF(COUNT(I136:I139)&gt;0,AVERAGE(I136:I139),"")</f>
        <v/>
      </c>
    </row>
    <row r="141" spans="1:9" x14ac:dyDescent="0.25">
      <c r="A141" s="28"/>
      <c r="B141" s="116" t="s">
        <v>166</v>
      </c>
      <c r="C141" s="102">
        <f>SUM(C142:C150)</f>
        <v>0</v>
      </c>
      <c r="D141" s="102">
        <f t="shared" ref="D141:G141" si="51">SUM(D142:D150)</f>
        <v>0</v>
      </c>
      <c r="E141" s="102">
        <f t="shared" si="51"/>
        <v>0</v>
      </c>
      <c r="F141" s="102">
        <f t="shared" si="51"/>
        <v>0</v>
      </c>
      <c r="G141" s="102">
        <f t="shared" si="51"/>
        <v>0</v>
      </c>
      <c r="H141" s="101"/>
      <c r="I141" s="101"/>
    </row>
    <row r="142" spans="1:9" ht="30" x14ac:dyDescent="0.25">
      <c r="A142" s="28"/>
      <c r="B142" s="43" t="s">
        <v>124</v>
      </c>
      <c r="C142" s="130"/>
      <c r="D142" s="130"/>
      <c r="E142" s="130"/>
      <c r="F142" s="130"/>
      <c r="G142" s="78" t="str">
        <f t="shared" ref="G142:G150" si="52">IF(OR(D142="",E142="",F142="")," ",D142+E142+F142)</f>
        <v xml:space="preserve"> </v>
      </c>
      <c r="H142" s="106" t="str">
        <f t="shared" ref="H142:H150" si="53">IFERROR(MIN(1,G142/C142),"")</f>
        <v/>
      </c>
      <c r="I142" s="106" t="str">
        <f t="shared" ref="I142:I150" si="54">IF(OR(C142=0),"",IFERROR(MIN(1,D142/G142),""))</f>
        <v/>
      </c>
    </row>
    <row r="143" spans="1:9" ht="18" x14ac:dyDescent="0.25">
      <c r="A143" s="28"/>
      <c r="B143" s="43" t="s">
        <v>179</v>
      </c>
      <c r="C143" s="130"/>
      <c r="D143" s="130"/>
      <c r="E143" s="130"/>
      <c r="F143" s="130"/>
      <c r="G143" s="78" t="str">
        <f t="shared" si="52"/>
        <v xml:space="preserve"> </v>
      </c>
      <c r="H143" s="106" t="str">
        <f t="shared" si="53"/>
        <v/>
      </c>
      <c r="I143" s="106" t="str">
        <f t="shared" si="54"/>
        <v/>
      </c>
    </row>
    <row r="144" spans="1:9" ht="18" x14ac:dyDescent="0.25">
      <c r="A144" s="28"/>
      <c r="B144" s="42" t="s">
        <v>122</v>
      </c>
      <c r="C144" s="130"/>
      <c r="D144" s="130"/>
      <c r="E144" s="130"/>
      <c r="F144" s="130"/>
      <c r="G144" s="78" t="str">
        <f t="shared" si="52"/>
        <v xml:space="preserve"> </v>
      </c>
      <c r="H144" s="106" t="str">
        <f t="shared" si="53"/>
        <v/>
      </c>
      <c r="I144" s="106" t="str">
        <f t="shared" si="54"/>
        <v/>
      </c>
    </row>
    <row r="145" spans="1:9" ht="18" x14ac:dyDescent="0.25">
      <c r="A145" s="28"/>
      <c r="B145" s="42" t="s">
        <v>69</v>
      </c>
      <c r="C145" s="130"/>
      <c r="D145" s="130"/>
      <c r="E145" s="130"/>
      <c r="F145" s="130"/>
      <c r="G145" s="78" t="str">
        <f t="shared" si="52"/>
        <v xml:space="preserve"> </v>
      </c>
      <c r="H145" s="106" t="str">
        <f t="shared" si="53"/>
        <v/>
      </c>
      <c r="I145" s="106" t="str">
        <f t="shared" si="54"/>
        <v/>
      </c>
    </row>
    <row r="146" spans="1:9" ht="18" x14ac:dyDescent="0.25">
      <c r="A146" s="28"/>
      <c r="B146" s="42" t="s">
        <v>178</v>
      </c>
      <c r="C146" s="130"/>
      <c r="D146" s="130"/>
      <c r="E146" s="130"/>
      <c r="F146" s="130"/>
      <c r="G146" s="78" t="str">
        <f t="shared" si="52"/>
        <v xml:space="preserve"> </v>
      </c>
      <c r="H146" s="106" t="str">
        <f t="shared" si="53"/>
        <v/>
      </c>
      <c r="I146" s="106" t="str">
        <f t="shared" si="54"/>
        <v/>
      </c>
    </row>
    <row r="147" spans="1:9" ht="18" x14ac:dyDescent="0.25">
      <c r="A147" s="28"/>
      <c r="B147" s="41" t="s">
        <v>199</v>
      </c>
      <c r="C147" s="131"/>
      <c r="D147" s="131"/>
      <c r="E147" s="131"/>
      <c r="F147" s="131"/>
      <c r="G147" s="78" t="str">
        <f t="shared" si="52"/>
        <v xml:space="preserve"> </v>
      </c>
      <c r="H147" s="106" t="str">
        <f t="shared" si="53"/>
        <v/>
      </c>
      <c r="I147" s="106" t="str">
        <f t="shared" si="54"/>
        <v/>
      </c>
    </row>
    <row r="148" spans="1:9" ht="18" x14ac:dyDescent="0.25">
      <c r="A148" s="28"/>
      <c r="B148" s="58"/>
      <c r="C148" s="130"/>
      <c r="D148" s="130"/>
      <c r="E148" s="130"/>
      <c r="F148" s="130"/>
      <c r="G148" s="78" t="str">
        <f t="shared" si="52"/>
        <v xml:space="preserve"> </v>
      </c>
      <c r="H148" s="106" t="str">
        <f t="shared" si="53"/>
        <v/>
      </c>
      <c r="I148" s="106" t="str">
        <f t="shared" si="54"/>
        <v/>
      </c>
    </row>
    <row r="149" spans="1:9" ht="18" x14ac:dyDescent="0.25">
      <c r="A149" s="28"/>
      <c r="B149" s="58"/>
      <c r="C149" s="130"/>
      <c r="D149" s="130"/>
      <c r="E149" s="130"/>
      <c r="F149" s="130"/>
      <c r="G149" s="78" t="str">
        <f t="shared" si="52"/>
        <v xml:space="preserve"> </v>
      </c>
      <c r="H149" s="106" t="str">
        <f t="shared" si="53"/>
        <v/>
      </c>
      <c r="I149" s="106" t="str">
        <f t="shared" si="54"/>
        <v/>
      </c>
    </row>
    <row r="150" spans="1:9" ht="18" x14ac:dyDescent="0.25">
      <c r="A150" s="28"/>
      <c r="B150" s="58"/>
      <c r="C150" s="130"/>
      <c r="D150" s="130"/>
      <c r="E150" s="130"/>
      <c r="F150" s="130"/>
      <c r="G150" s="78" t="str">
        <f t="shared" si="52"/>
        <v xml:space="preserve"> </v>
      </c>
      <c r="H150" s="106" t="str">
        <f t="shared" si="53"/>
        <v/>
      </c>
      <c r="I150" s="106" t="str">
        <f t="shared" si="54"/>
        <v/>
      </c>
    </row>
    <row r="151" spans="1:9" ht="18" x14ac:dyDescent="0.25">
      <c r="A151" s="28"/>
      <c r="B151" s="152" t="s">
        <v>237</v>
      </c>
      <c r="C151" s="153"/>
      <c r="D151" s="153"/>
      <c r="E151" s="153"/>
      <c r="F151" s="153"/>
      <c r="G151" s="154"/>
      <c r="H151" s="113" t="str">
        <f>IF(COUNT(H142:H150)&gt;0,AVERAGE(H142:H150),"")</f>
        <v/>
      </c>
      <c r="I151" s="113" t="str">
        <f>IF(COUNT(I142:I150)&gt;0,AVERAGE(I142:I150),"")</f>
        <v/>
      </c>
    </row>
    <row r="152" spans="1:9" x14ac:dyDescent="0.25">
      <c r="A152" s="28"/>
      <c r="B152" s="116" t="s">
        <v>158</v>
      </c>
      <c r="C152" s="102">
        <f>SUM(C153:C165)</f>
        <v>244</v>
      </c>
      <c r="D152" s="102">
        <f t="shared" ref="D152:G152" si="55">SUM(D153:D165)</f>
        <v>196</v>
      </c>
      <c r="E152" s="102">
        <f t="shared" si="55"/>
        <v>6</v>
      </c>
      <c r="F152" s="102">
        <f t="shared" si="55"/>
        <v>9</v>
      </c>
      <c r="G152" s="102">
        <f t="shared" si="55"/>
        <v>211</v>
      </c>
      <c r="H152" s="101"/>
      <c r="I152" s="101"/>
    </row>
    <row r="153" spans="1:9" ht="18.75" x14ac:dyDescent="0.3">
      <c r="A153" s="28"/>
      <c r="B153" s="42" t="s">
        <v>245</v>
      </c>
      <c r="C153" s="133">
        <v>184</v>
      </c>
      <c r="D153" s="134">
        <v>174</v>
      </c>
      <c r="E153" s="134">
        <v>5</v>
      </c>
      <c r="F153" s="134">
        <v>9</v>
      </c>
      <c r="G153" s="79">
        <f t="shared" ref="G153:G165" si="56">IF(OR(D153="",E153="",F153="")," ",D153+E153+F153)</f>
        <v>188</v>
      </c>
      <c r="H153" s="119">
        <f t="shared" ref="H153:H165" si="57">IFERROR(MIN(1,G153/C153),"")</f>
        <v>1</v>
      </c>
      <c r="I153" s="119">
        <f t="shared" ref="I153:I165" si="58">IF(OR(C153=0),"",IFERROR(MIN(1,D153/G153),""))</f>
        <v>0.92553191489361697</v>
      </c>
    </row>
    <row r="154" spans="1:9" ht="18.75" x14ac:dyDescent="0.3">
      <c r="A154" s="28"/>
      <c r="B154" s="42" t="s">
        <v>246</v>
      </c>
      <c r="C154" s="130">
        <v>54</v>
      </c>
      <c r="D154" s="130">
        <v>21</v>
      </c>
      <c r="E154" s="130">
        <v>1</v>
      </c>
      <c r="F154" s="130">
        <v>0</v>
      </c>
      <c r="G154" s="79">
        <f t="shared" si="56"/>
        <v>22</v>
      </c>
      <c r="H154" s="119">
        <f t="shared" si="57"/>
        <v>0.40740740740740738</v>
      </c>
      <c r="I154" s="119">
        <f t="shared" si="58"/>
        <v>0.95454545454545459</v>
      </c>
    </row>
    <row r="155" spans="1:9" ht="18.75" x14ac:dyDescent="0.3">
      <c r="A155" s="28"/>
      <c r="B155" s="42" t="s">
        <v>247</v>
      </c>
      <c r="C155" s="130">
        <v>1</v>
      </c>
      <c r="D155" s="130">
        <v>0</v>
      </c>
      <c r="E155" s="130">
        <v>0</v>
      </c>
      <c r="F155" s="130">
        <v>0</v>
      </c>
      <c r="G155" s="79">
        <f t="shared" si="56"/>
        <v>0</v>
      </c>
      <c r="H155" s="119">
        <f t="shared" si="57"/>
        <v>0</v>
      </c>
      <c r="I155" s="119" t="str">
        <f t="shared" si="58"/>
        <v/>
      </c>
    </row>
    <row r="156" spans="1:9" ht="18.75" x14ac:dyDescent="0.3">
      <c r="A156" s="28"/>
      <c r="B156" s="51" t="s">
        <v>197</v>
      </c>
      <c r="C156" s="130">
        <v>0</v>
      </c>
      <c r="D156" s="130">
        <v>0</v>
      </c>
      <c r="E156" s="130">
        <v>0</v>
      </c>
      <c r="F156" s="130">
        <v>0</v>
      </c>
      <c r="G156" s="79">
        <f t="shared" si="56"/>
        <v>0</v>
      </c>
      <c r="H156" s="119" t="str">
        <f t="shared" si="57"/>
        <v/>
      </c>
      <c r="I156" s="119" t="str">
        <f t="shared" si="58"/>
        <v/>
      </c>
    </row>
    <row r="157" spans="1:9" ht="18.75" x14ac:dyDescent="0.3">
      <c r="A157" s="28"/>
      <c r="B157" s="38" t="s">
        <v>198</v>
      </c>
      <c r="C157" s="130">
        <v>0</v>
      </c>
      <c r="D157" s="130">
        <v>0</v>
      </c>
      <c r="E157" s="130">
        <v>0</v>
      </c>
      <c r="F157" s="130">
        <v>0</v>
      </c>
      <c r="G157" s="79">
        <f t="shared" si="56"/>
        <v>0</v>
      </c>
      <c r="H157" s="119" t="str">
        <f t="shared" si="57"/>
        <v/>
      </c>
      <c r="I157" s="119" t="str">
        <f t="shared" si="58"/>
        <v/>
      </c>
    </row>
    <row r="158" spans="1:9" ht="18.75" x14ac:dyDescent="0.3">
      <c r="A158" s="28"/>
      <c r="B158" s="50" t="s">
        <v>59</v>
      </c>
      <c r="C158" s="130">
        <v>5</v>
      </c>
      <c r="D158" s="130">
        <v>1</v>
      </c>
      <c r="E158" s="130">
        <v>0</v>
      </c>
      <c r="F158" s="130">
        <v>0</v>
      </c>
      <c r="G158" s="79">
        <f t="shared" si="56"/>
        <v>1</v>
      </c>
      <c r="H158" s="119">
        <f t="shared" si="57"/>
        <v>0.2</v>
      </c>
      <c r="I158" s="119">
        <f t="shared" si="58"/>
        <v>1</v>
      </c>
    </row>
    <row r="159" spans="1:9" ht="18.75" x14ac:dyDescent="0.3">
      <c r="A159" s="28"/>
      <c r="B159" s="38" t="s">
        <v>152</v>
      </c>
      <c r="C159" s="130">
        <v>0</v>
      </c>
      <c r="D159" s="130">
        <v>0</v>
      </c>
      <c r="E159" s="130">
        <v>0</v>
      </c>
      <c r="F159" s="130">
        <v>0</v>
      </c>
      <c r="G159" s="79">
        <f t="shared" si="56"/>
        <v>0</v>
      </c>
      <c r="H159" s="119" t="str">
        <f t="shared" si="57"/>
        <v/>
      </c>
      <c r="I159" s="119" t="str">
        <f t="shared" si="58"/>
        <v/>
      </c>
    </row>
    <row r="160" spans="1:9" ht="18.75" x14ac:dyDescent="0.3">
      <c r="A160" s="28"/>
      <c r="B160" s="57" t="s">
        <v>199</v>
      </c>
      <c r="C160" s="131"/>
      <c r="D160" s="131"/>
      <c r="E160" s="131"/>
      <c r="F160" s="131"/>
      <c r="G160" s="79" t="str">
        <f t="shared" si="56"/>
        <v xml:space="preserve"> </v>
      </c>
      <c r="H160" s="121" t="str">
        <f t="shared" si="57"/>
        <v/>
      </c>
      <c r="I160" s="119" t="str">
        <f t="shared" si="58"/>
        <v/>
      </c>
    </row>
    <row r="161" spans="1:9" ht="18.75" x14ac:dyDescent="0.3">
      <c r="A161" s="28"/>
      <c r="B161" s="58"/>
      <c r="C161" s="130"/>
      <c r="D161" s="130"/>
      <c r="E161" s="130"/>
      <c r="F161" s="130"/>
      <c r="G161" s="79" t="str">
        <f t="shared" si="56"/>
        <v xml:space="preserve"> </v>
      </c>
      <c r="H161" s="119" t="str">
        <f t="shared" si="57"/>
        <v/>
      </c>
      <c r="I161" s="119" t="str">
        <f t="shared" si="58"/>
        <v/>
      </c>
    </row>
    <row r="162" spans="1:9" ht="18.75" x14ac:dyDescent="0.3">
      <c r="A162" s="28"/>
      <c r="B162" s="58"/>
      <c r="C162" s="130"/>
      <c r="D162" s="130"/>
      <c r="E162" s="130"/>
      <c r="F162" s="130"/>
      <c r="G162" s="79" t="str">
        <f t="shared" si="56"/>
        <v xml:space="preserve"> </v>
      </c>
      <c r="H162" s="119" t="str">
        <f t="shared" si="57"/>
        <v/>
      </c>
      <c r="I162" s="119" t="str">
        <f t="shared" si="58"/>
        <v/>
      </c>
    </row>
    <row r="163" spans="1:9" ht="18.75" x14ac:dyDescent="0.3">
      <c r="A163" s="28"/>
      <c r="B163" s="58"/>
      <c r="C163" s="130"/>
      <c r="D163" s="130"/>
      <c r="E163" s="130"/>
      <c r="F163" s="130"/>
      <c r="G163" s="79" t="str">
        <f t="shared" si="56"/>
        <v xml:space="preserve"> </v>
      </c>
      <c r="H163" s="119" t="str">
        <f t="shared" si="57"/>
        <v/>
      </c>
      <c r="I163" s="119" t="str">
        <f t="shared" si="58"/>
        <v/>
      </c>
    </row>
    <row r="164" spans="1:9" ht="18.75" x14ac:dyDescent="0.3">
      <c r="A164" s="28"/>
      <c r="B164" s="58"/>
      <c r="C164" s="130"/>
      <c r="D164" s="130"/>
      <c r="E164" s="130"/>
      <c r="F164" s="130"/>
      <c r="G164" s="79" t="str">
        <f t="shared" si="56"/>
        <v xml:space="preserve"> </v>
      </c>
      <c r="H164" s="119" t="str">
        <f t="shared" si="57"/>
        <v/>
      </c>
      <c r="I164" s="119" t="str">
        <f t="shared" si="58"/>
        <v/>
      </c>
    </row>
    <row r="165" spans="1:9" ht="18.75" x14ac:dyDescent="0.3">
      <c r="A165" s="28"/>
      <c r="B165" s="58"/>
      <c r="C165" s="130"/>
      <c r="D165" s="130"/>
      <c r="E165" s="130"/>
      <c r="F165" s="130"/>
      <c r="G165" s="79" t="str">
        <f t="shared" si="56"/>
        <v xml:space="preserve"> </v>
      </c>
      <c r="H165" s="119" t="str">
        <f t="shared" si="57"/>
        <v/>
      </c>
      <c r="I165" s="119" t="str">
        <f t="shared" si="58"/>
        <v/>
      </c>
    </row>
    <row r="166" spans="1:9" ht="18.75" x14ac:dyDescent="0.3">
      <c r="A166" s="28"/>
      <c r="B166" s="149" t="s">
        <v>237</v>
      </c>
      <c r="C166" s="150"/>
      <c r="D166" s="150"/>
      <c r="E166" s="150"/>
      <c r="F166" s="150"/>
      <c r="G166" s="151"/>
      <c r="H166" s="122">
        <f>IF(COUNT(H153:H165)&gt;0,AVERAGE(H153:H165),"")</f>
        <v>0.40185185185185185</v>
      </c>
      <c r="I166" s="122">
        <f>IF(COUNT(I153:I165)&gt;0,AVERAGE(I153:I165),"")</f>
        <v>0.96002578981302378</v>
      </c>
    </row>
    <row r="167" spans="1:9" x14ac:dyDescent="0.25">
      <c r="A167" s="28"/>
      <c r="B167" s="116" t="s">
        <v>172</v>
      </c>
      <c r="C167" s="102">
        <f>SUM(C168:C188)</f>
        <v>51</v>
      </c>
      <c r="D167" s="102">
        <f t="shared" ref="D167:G167" si="59">SUM(D168:D188)</f>
        <v>10</v>
      </c>
      <c r="E167" s="102">
        <f t="shared" si="59"/>
        <v>0</v>
      </c>
      <c r="F167" s="102">
        <f t="shared" si="59"/>
        <v>0</v>
      </c>
      <c r="G167" s="102">
        <f t="shared" si="59"/>
        <v>10</v>
      </c>
      <c r="H167" s="101"/>
      <c r="I167" s="101"/>
    </row>
    <row r="168" spans="1:9" ht="18.75" x14ac:dyDescent="0.3">
      <c r="A168" s="28"/>
      <c r="B168" s="42" t="s">
        <v>121</v>
      </c>
      <c r="C168" s="130">
        <v>0</v>
      </c>
      <c r="D168" s="130">
        <v>0</v>
      </c>
      <c r="E168" s="130">
        <v>0</v>
      </c>
      <c r="F168" s="130">
        <v>0</v>
      </c>
      <c r="G168" s="79">
        <f t="shared" ref="G168:G188" si="60">IF(OR(D168="",E168="",F168="")," ",D168+E168+F168)</f>
        <v>0</v>
      </c>
      <c r="H168" s="119" t="str">
        <f t="shared" ref="H168:H188" si="61">IFERROR(MIN(1,G168/C168),"")</f>
        <v/>
      </c>
      <c r="I168" s="119" t="str">
        <f t="shared" ref="I168:I188" si="62">IF(OR(C168=0),"",IFERROR(MIN(1,D168/G168),""))</f>
        <v/>
      </c>
    </row>
    <row r="169" spans="1:9" ht="18.75" x14ac:dyDescent="0.3">
      <c r="A169" s="28"/>
      <c r="B169" s="42" t="s">
        <v>68</v>
      </c>
      <c r="C169" s="130">
        <v>0</v>
      </c>
      <c r="D169" s="130">
        <v>0</v>
      </c>
      <c r="E169" s="130">
        <v>0</v>
      </c>
      <c r="F169" s="130">
        <v>0</v>
      </c>
      <c r="G169" s="79">
        <f t="shared" si="60"/>
        <v>0</v>
      </c>
      <c r="H169" s="119" t="str">
        <f t="shared" si="61"/>
        <v/>
      </c>
      <c r="I169" s="119" t="str">
        <f t="shared" si="62"/>
        <v/>
      </c>
    </row>
    <row r="170" spans="1:9" ht="18.75" x14ac:dyDescent="0.3">
      <c r="A170" s="28"/>
      <c r="B170" s="42" t="s">
        <v>69</v>
      </c>
      <c r="C170" s="133">
        <v>0</v>
      </c>
      <c r="D170" s="134">
        <v>0</v>
      </c>
      <c r="E170" s="134">
        <v>0</v>
      </c>
      <c r="F170" s="134">
        <v>0</v>
      </c>
      <c r="G170" s="79">
        <f t="shared" si="60"/>
        <v>0</v>
      </c>
      <c r="H170" s="119" t="str">
        <f t="shared" si="61"/>
        <v/>
      </c>
      <c r="I170" s="119" t="str">
        <f t="shared" si="62"/>
        <v/>
      </c>
    </row>
    <row r="171" spans="1:9" ht="18.75" x14ac:dyDescent="0.3">
      <c r="A171" s="28"/>
      <c r="B171" s="42" t="s">
        <v>123</v>
      </c>
      <c r="C171" s="130">
        <v>0</v>
      </c>
      <c r="D171" s="130">
        <v>0</v>
      </c>
      <c r="E171" s="130">
        <v>0</v>
      </c>
      <c r="F171" s="130">
        <v>0</v>
      </c>
      <c r="G171" s="79">
        <f t="shared" si="60"/>
        <v>0</v>
      </c>
      <c r="H171" s="119" t="str">
        <f t="shared" si="61"/>
        <v/>
      </c>
      <c r="I171" s="119" t="str">
        <f t="shared" si="62"/>
        <v/>
      </c>
    </row>
    <row r="172" spans="1:9" ht="18.75" x14ac:dyDescent="0.3">
      <c r="A172" s="28"/>
      <c r="B172" s="42" t="s">
        <v>98</v>
      </c>
      <c r="C172" s="130">
        <v>0</v>
      </c>
      <c r="D172" s="130">
        <v>0</v>
      </c>
      <c r="E172" s="130">
        <v>0</v>
      </c>
      <c r="F172" s="130">
        <v>0</v>
      </c>
      <c r="G172" s="79">
        <f t="shared" si="60"/>
        <v>0</v>
      </c>
      <c r="H172" s="119" t="str">
        <f t="shared" si="61"/>
        <v/>
      </c>
      <c r="I172" s="119" t="str">
        <f t="shared" si="62"/>
        <v/>
      </c>
    </row>
    <row r="173" spans="1:9" ht="18.75" x14ac:dyDescent="0.3">
      <c r="A173" s="28"/>
      <c r="B173" s="42" t="s">
        <v>80</v>
      </c>
      <c r="C173" s="130">
        <v>0</v>
      </c>
      <c r="D173" s="130">
        <v>0</v>
      </c>
      <c r="E173" s="130">
        <v>0</v>
      </c>
      <c r="F173" s="130">
        <v>0</v>
      </c>
      <c r="G173" s="79">
        <f t="shared" si="60"/>
        <v>0</v>
      </c>
      <c r="H173" s="119" t="str">
        <f t="shared" si="61"/>
        <v/>
      </c>
      <c r="I173" s="119" t="str">
        <f t="shared" si="62"/>
        <v/>
      </c>
    </row>
    <row r="174" spans="1:9" ht="18.75" x14ac:dyDescent="0.3">
      <c r="A174" s="28"/>
      <c r="B174" s="42" t="s">
        <v>81</v>
      </c>
      <c r="C174" s="130">
        <v>0</v>
      </c>
      <c r="D174" s="130">
        <v>0</v>
      </c>
      <c r="E174" s="130">
        <v>0</v>
      </c>
      <c r="F174" s="130">
        <v>0</v>
      </c>
      <c r="G174" s="79">
        <f t="shared" si="60"/>
        <v>0</v>
      </c>
      <c r="H174" s="119" t="str">
        <f t="shared" si="61"/>
        <v/>
      </c>
      <c r="I174" s="119" t="str">
        <f t="shared" si="62"/>
        <v/>
      </c>
    </row>
    <row r="175" spans="1:9" ht="18.75" x14ac:dyDescent="0.3">
      <c r="A175" s="28"/>
      <c r="B175" s="42" t="s">
        <v>82</v>
      </c>
      <c r="C175" s="130">
        <v>0</v>
      </c>
      <c r="D175" s="130">
        <v>0</v>
      </c>
      <c r="E175" s="130">
        <v>0</v>
      </c>
      <c r="F175" s="130">
        <v>0</v>
      </c>
      <c r="G175" s="79">
        <f t="shared" si="60"/>
        <v>0</v>
      </c>
      <c r="H175" s="119" t="str">
        <f t="shared" si="61"/>
        <v/>
      </c>
      <c r="I175" s="119" t="str">
        <f t="shared" si="62"/>
        <v/>
      </c>
    </row>
    <row r="176" spans="1:9" ht="18.75" x14ac:dyDescent="0.3">
      <c r="A176" s="28"/>
      <c r="B176" s="42" t="s">
        <v>83</v>
      </c>
      <c r="C176" s="130">
        <v>0</v>
      </c>
      <c r="D176" s="130">
        <v>0</v>
      </c>
      <c r="E176" s="130">
        <v>0</v>
      </c>
      <c r="F176" s="130">
        <v>0</v>
      </c>
      <c r="G176" s="79">
        <f t="shared" si="60"/>
        <v>0</v>
      </c>
      <c r="H176" s="119" t="str">
        <f t="shared" si="61"/>
        <v/>
      </c>
      <c r="I176" s="119" t="str">
        <f t="shared" si="62"/>
        <v/>
      </c>
    </row>
    <row r="177" spans="1:9" ht="18.75" x14ac:dyDescent="0.3">
      <c r="A177" s="28"/>
      <c r="B177" s="42" t="s">
        <v>173</v>
      </c>
      <c r="C177" s="130">
        <v>0</v>
      </c>
      <c r="D177" s="130">
        <v>0</v>
      </c>
      <c r="E177" s="130">
        <v>0</v>
      </c>
      <c r="F177" s="130">
        <v>0</v>
      </c>
      <c r="G177" s="79">
        <f t="shared" si="60"/>
        <v>0</v>
      </c>
      <c r="H177" s="119" t="str">
        <f t="shared" si="61"/>
        <v/>
      </c>
      <c r="I177" s="119" t="str">
        <f t="shared" si="62"/>
        <v/>
      </c>
    </row>
    <row r="178" spans="1:9" ht="18.75" x14ac:dyDescent="0.3">
      <c r="A178" s="28"/>
      <c r="B178" s="42" t="s">
        <v>174</v>
      </c>
      <c r="C178" s="130">
        <v>0</v>
      </c>
      <c r="D178" s="130">
        <v>0</v>
      </c>
      <c r="E178" s="130">
        <v>0</v>
      </c>
      <c r="F178" s="130">
        <v>0</v>
      </c>
      <c r="G178" s="79">
        <f t="shared" si="60"/>
        <v>0</v>
      </c>
      <c r="H178" s="119" t="str">
        <f t="shared" si="61"/>
        <v/>
      </c>
      <c r="I178" s="119" t="str">
        <f t="shared" si="62"/>
        <v/>
      </c>
    </row>
    <row r="179" spans="1:9" ht="18.75" x14ac:dyDescent="0.3">
      <c r="A179" s="28"/>
      <c r="B179" s="42" t="s">
        <v>175</v>
      </c>
      <c r="C179" s="130">
        <v>0</v>
      </c>
      <c r="D179" s="130">
        <v>0</v>
      </c>
      <c r="E179" s="130">
        <v>0</v>
      </c>
      <c r="F179" s="130">
        <v>0</v>
      </c>
      <c r="G179" s="79">
        <f t="shared" si="60"/>
        <v>0</v>
      </c>
      <c r="H179" s="119" t="str">
        <f t="shared" si="61"/>
        <v/>
      </c>
      <c r="I179" s="119" t="str">
        <f t="shared" si="62"/>
        <v/>
      </c>
    </row>
    <row r="180" spans="1:9" ht="18.75" x14ac:dyDescent="0.3">
      <c r="A180" s="28"/>
      <c r="B180" s="41" t="s">
        <v>199</v>
      </c>
      <c r="C180" s="135"/>
      <c r="D180" s="135"/>
      <c r="E180" s="135"/>
      <c r="F180" s="135"/>
      <c r="G180" s="79" t="str">
        <f t="shared" si="60"/>
        <v xml:space="preserve"> </v>
      </c>
      <c r="H180" s="119" t="str">
        <f t="shared" si="61"/>
        <v/>
      </c>
      <c r="I180" s="119" t="str">
        <f t="shared" si="62"/>
        <v/>
      </c>
    </row>
    <row r="181" spans="1:9" ht="18.75" x14ac:dyDescent="0.3">
      <c r="A181" s="28"/>
      <c r="B181" s="58" t="s">
        <v>266</v>
      </c>
      <c r="C181" s="130">
        <v>51</v>
      </c>
      <c r="D181" s="130">
        <v>10</v>
      </c>
      <c r="E181" s="130">
        <v>0</v>
      </c>
      <c r="F181" s="130">
        <v>0</v>
      </c>
      <c r="G181" s="79">
        <f t="shared" si="60"/>
        <v>10</v>
      </c>
      <c r="H181" s="119">
        <f t="shared" si="61"/>
        <v>0.19607843137254902</v>
      </c>
      <c r="I181" s="119">
        <f t="shared" si="62"/>
        <v>1</v>
      </c>
    </row>
    <row r="182" spans="1:9" ht="18.75" x14ac:dyDescent="0.3">
      <c r="A182" s="28"/>
      <c r="B182" s="58"/>
      <c r="C182" s="130"/>
      <c r="D182" s="130"/>
      <c r="E182" s="130"/>
      <c r="F182" s="130"/>
      <c r="G182" s="79" t="str">
        <f t="shared" si="60"/>
        <v xml:space="preserve"> </v>
      </c>
      <c r="H182" s="119" t="str">
        <f t="shared" si="61"/>
        <v/>
      </c>
      <c r="I182" s="119" t="str">
        <f t="shared" si="62"/>
        <v/>
      </c>
    </row>
    <row r="183" spans="1:9" ht="18.75" x14ac:dyDescent="0.3">
      <c r="A183" s="28"/>
      <c r="B183" s="58"/>
      <c r="C183" s="130"/>
      <c r="D183" s="130"/>
      <c r="E183" s="130"/>
      <c r="F183" s="130"/>
      <c r="G183" s="79" t="str">
        <f t="shared" si="60"/>
        <v xml:space="preserve"> </v>
      </c>
      <c r="H183" s="119" t="str">
        <f t="shared" si="61"/>
        <v/>
      </c>
      <c r="I183" s="119" t="str">
        <f t="shared" si="62"/>
        <v/>
      </c>
    </row>
    <row r="184" spans="1:9" ht="18.75" x14ac:dyDescent="0.3">
      <c r="A184" s="28"/>
      <c r="B184" s="58"/>
      <c r="C184" s="130"/>
      <c r="D184" s="130"/>
      <c r="E184" s="130"/>
      <c r="F184" s="130"/>
      <c r="G184" s="79" t="str">
        <f t="shared" si="60"/>
        <v xml:space="preserve"> </v>
      </c>
      <c r="H184" s="119" t="str">
        <f t="shared" si="61"/>
        <v/>
      </c>
      <c r="I184" s="119" t="str">
        <f t="shared" si="62"/>
        <v/>
      </c>
    </row>
    <row r="185" spans="1:9" ht="18.75" x14ac:dyDescent="0.3">
      <c r="A185" s="28"/>
      <c r="B185" s="58"/>
      <c r="C185" s="130"/>
      <c r="D185" s="130"/>
      <c r="E185" s="130"/>
      <c r="F185" s="130"/>
      <c r="G185" s="79" t="str">
        <f t="shared" si="60"/>
        <v xml:space="preserve"> </v>
      </c>
      <c r="H185" s="119" t="str">
        <f t="shared" si="61"/>
        <v/>
      </c>
      <c r="I185" s="119" t="str">
        <f t="shared" si="62"/>
        <v/>
      </c>
    </row>
    <row r="186" spans="1:9" ht="18.75" x14ac:dyDescent="0.3">
      <c r="A186" s="28"/>
      <c r="B186" s="58"/>
      <c r="C186" s="130"/>
      <c r="D186" s="130"/>
      <c r="E186" s="130"/>
      <c r="F186" s="130"/>
      <c r="G186" s="79" t="str">
        <f t="shared" si="60"/>
        <v xml:space="preserve"> </v>
      </c>
      <c r="H186" s="119" t="str">
        <f t="shared" si="61"/>
        <v/>
      </c>
      <c r="I186" s="119" t="str">
        <f t="shared" si="62"/>
        <v/>
      </c>
    </row>
    <row r="187" spans="1:9" ht="18.75" x14ac:dyDescent="0.3">
      <c r="A187" s="28"/>
      <c r="B187" s="58"/>
      <c r="C187" s="130"/>
      <c r="D187" s="130"/>
      <c r="E187" s="130"/>
      <c r="F187" s="130"/>
      <c r="G187" s="79" t="str">
        <f t="shared" si="60"/>
        <v xml:space="preserve"> </v>
      </c>
      <c r="H187" s="119" t="str">
        <f t="shared" si="61"/>
        <v/>
      </c>
      <c r="I187" s="119" t="str">
        <f t="shared" si="62"/>
        <v/>
      </c>
    </row>
    <row r="188" spans="1:9" ht="18.75" x14ac:dyDescent="0.3">
      <c r="A188" s="28"/>
      <c r="B188" s="58"/>
      <c r="C188" s="130"/>
      <c r="D188" s="130"/>
      <c r="E188" s="130"/>
      <c r="F188" s="130"/>
      <c r="G188" s="79" t="str">
        <f t="shared" si="60"/>
        <v xml:space="preserve"> </v>
      </c>
      <c r="H188" s="119" t="str">
        <f t="shared" si="61"/>
        <v/>
      </c>
      <c r="I188" s="119" t="str">
        <f t="shared" si="62"/>
        <v/>
      </c>
    </row>
    <row r="189" spans="1:9" ht="18.75" x14ac:dyDescent="0.3">
      <c r="A189" s="28"/>
      <c r="B189" s="149" t="s">
        <v>237</v>
      </c>
      <c r="C189" s="150"/>
      <c r="D189" s="150"/>
      <c r="E189" s="150"/>
      <c r="F189" s="150"/>
      <c r="G189" s="151"/>
      <c r="H189" s="122">
        <f>IF(COUNT(H168:H188)&gt;0,AVERAGE(H168:H188),"")</f>
        <v>0.19607843137254902</v>
      </c>
      <c r="I189" s="122">
        <f>IF(COUNT(I168:I188)&gt;0,AVERAGE(I168:I188),"")</f>
        <v>1</v>
      </c>
    </row>
    <row r="190" spans="1:9" ht="18.95" customHeight="1" x14ac:dyDescent="0.25">
      <c r="A190" s="28"/>
      <c r="B190" s="116" t="s">
        <v>196</v>
      </c>
      <c r="C190" s="102">
        <f>SUM(C191:C195)</f>
        <v>0</v>
      </c>
      <c r="D190" s="102">
        <f t="shared" ref="D190:G190" si="63">SUM(D191:D195)</f>
        <v>0</v>
      </c>
      <c r="E190" s="102">
        <f t="shared" si="63"/>
        <v>0</v>
      </c>
      <c r="F190" s="102">
        <f t="shared" si="63"/>
        <v>0</v>
      </c>
      <c r="G190" s="102">
        <f t="shared" si="63"/>
        <v>0</v>
      </c>
      <c r="H190" s="101"/>
      <c r="I190" s="101"/>
    </row>
    <row r="191" spans="1:9" ht="18.75" x14ac:dyDescent="0.3">
      <c r="A191" s="28"/>
      <c r="B191" s="43" t="s">
        <v>194</v>
      </c>
      <c r="C191" s="130">
        <v>0</v>
      </c>
      <c r="D191" s="130">
        <v>0</v>
      </c>
      <c r="E191" s="130">
        <v>0</v>
      </c>
      <c r="F191" s="130">
        <v>0</v>
      </c>
      <c r="G191" s="79">
        <f t="shared" ref="G191:G195" si="64">IF(OR(D191="",E191="",F191="")," ",D191+E191+F191)</f>
        <v>0</v>
      </c>
      <c r="H191" s="119" t="str">
        <f t="shared" ref="H191:H195" si="65">IFERROR(MIN(1,G191/C191),"")</f>
        <v/>
      </c>
      <c r="I191" s="119" t="str">
        <f t="shared" ref="I191:I195" si="66">IF(OR(C191=0),"",IFERROR(MIN(1,D191/G191),""))</f>
        <v/>
      </c>
    </row>
    <row r="192" spans="1:9" ht="30" x14ac:dyDescent="0.3">
      <c r="A192" s="28"/>
      <c r="B192" s="43" t="s">
        <v>195</v>
      </c>
      <c r="C192" s="130">
        <v>0</v>
      </c>
      <c r="D192" s="130">
        <v>0</v>
      </c>
      <c r="E192" s="130">
        <v>0</v>
      </c>
      <c r="F192" s="130">
        <v>0</v>
      </c>
      <c r="G192" s="79">
        <f t="shared" si="64"/>
        <v>0</v>
      </c>
      <c r="H192" s="119" t="str">
        <f t="shared" si="65"/>
        <v/>
      </c>
      <c r="I192" s="119" t="str">
        <f t="shared" si="66"/>
        <v/>
      </c>
    </row>
    <row r="193" spans="1:9" ht="18.75" x14ac:dyDescent="0.3">
      <c r="A193" s="28"/>
      <c r="B193" s="41" t="s">
        <v>199</v>
      </c>
      <c r="C193" s="131"/>
      <c r="D193" s="131"/>
      <c r="E193" s="131"/>
      <c r="F193" s="131"/>
      <c r="G193" s="79" t="str">
        <f t="shared" si="64"/>
        <v xml:space="preserve"> </v>
      </c>
      <c r="H193" s="119" t="str">
        <f t="shared" si="65"/>
        <v/>
      </c>
      <c r="I193" s="119" t="str">
        <f t="shared" si="66"/>
        <v/>
      </c>
    </row>
    <row r="194" spans="1:9" ht="18.75" x14ac:dyDescent="0.3">
      <c r="A194" s="28"/>
      <c r="B194" s="58"/>
      <c r="C194" s="130"/>
      <c r="D194" s="130"/>
      <c r="E194" s="130"/>
      <c r="F194" s="130"/>
      <c r="G194" s="79" t="str">
        <f t="shared" si="64"/>
        <v xml:space="preserve"> </v>
      </c>
      <c r="H194" s="119" t="str">
        <f t="shared" si="65"/>
        <v/>
      </c>
      <c r="I194" s="119" t="str">
        <f t="shared" si="66"/>
        <v/>
      </c>
    </row>
    <row r="195" spans="1:9" ht="18.75" x14ac:dyDescent="0.3">
      <c r="A195" s="28"/>
      <c r="B195" s="58"/>
      <c r="C195" s="130"/>
      <c r="D195" s="130"/>
      <c r="E195" s="130"/>
      <c r="F195" s="130"/>
      <c r="G195" s="79" t="str">
        <f t="shared" si="64"/>
        <v xml:space="preserve"> </v>
      </c>
      <c r="H195" s="119" t="str">
        <f t="shared" si="65"/>
        <v/>
      </c>
      <c r="I195" s="119" t="str">
        <f t="shared" si="66"/>
        <v/>
      </c>
    </row>
    <row r="196" spans="1:9" ht="18.75" x14ac:dyDescent="0.3">
      <c r="A196" s="28"/>
      <c r="B196" s="149" t="s">
        <v>237</v>
      </c>
      <c r="C196" s="150"/>
      <c r="D196" s="150"/>
      <c r="E196" s="150"/>
      <c r="F196" s="150"/>
      <c r="G196" s="151"/>
      <c r="H196" s="122" t="str">
        <f>IF(COUNT(H191:H195)&gt;0,AVERAGE(H191:H195),"")</f>
        <v/>
      </c>
      <c r="I196" s="122" t="str">
        <f>IF(COUNT(I191:I195)&gt;0,AVERAGE(I191:I195),"")</f>
        <v/>
      </c>
    </row>
    <row r="197" spans="1:9" ht="18.95" customHeight="1" x14ac:dyDescent="0.25">
      <c r="A197" s="28"/>
      <c r="B197" s="116" t="s">
        <v>159</v>
      </c>
      <c r="C197" s="102">
        <f>SUM(C198:C285)</f>
        <v>278</v>
      </c>
      <c r="D197" s="102">
        <f t="shared" ref="D197:F197" si="67">SUM(D198:D285)</f>
        <v>351</v>
      </c>
      <c r="E197" s="102">
        <f t="shared" si="67"/>
        <v>9</v>
      </c>
      <c r="F197" s="102">
        <f t="shared" si="67"/>
        <v>4</v>
      </c>
      <c r="G197" s="101"/>
      <c r="H197" s="101"/>
      <c r="I197" s="101"/>
    </row>
    <row r="198" spans="1:9" ht="18.75" x14ac:dyDescent="0.3">
      <c r="A198" s="28"/>
      <c r="B198" s="42" t="s">
        <v>74</v>
      </c>
      <c r="C198" s="130">
        <v>0</v>
      </c>
      <c r="D198" s="130">
        <v>0</v>
      </c>
      <c r="E198" s="130">
        <v>0</v>
      </c>
      <c r="F198" s="130">
        <v>0</v>
      </c>
      <c r="G198" s="79">
        <f t="shared" ref="G198:G261" si="68">IF(OR(D198="",E198="",F198="")," ",D198+E198+F198)</f>
        <v>0</v>
      </c>
      <c r="H198" s="119" t="str">
        <f t="shared" ref="H198:H261" si="69">IFERROR(MIN(1,G198/C198),"")</f>
        <v/>
      </c>
      <c r="I198" s="119" t="str">
        <f t="shared" ref="I198:I261" si="70">IF(OR(C198=0),"",IFERROR(MIN(1,D198/G198),""))</f>
        <v/>
      </c>
    </row>
    <row r="199" spans="1:9" ht="18.75" x14ac:dyDescent="0.3">
      <c r="A199" s="28"/>
      <c r="B199" s="42" t="s">
        <v>54</v>
      </c>
      <c r="C199" s="130">
        <v>3</v>
      </c>
      <c r="D199" s="130">
        <v>2</v>
      </c>
      <c r="E199" s="130">
        <v>0</v>
      </c>
      <c r="F199" s="130">
        <v>0</v>
      </c>
      <c r="G199" s="79">
        <f t="shared" si="68"/>
        <v>2</v>
      </c>
      <c r="H199" s="119">
        <f t="shared" si="69"/>
        <v>0.66666666666666663</v>
      </c>
      <c r="I199" s="119">
        <f t="shared" si="70"/>
        <v>1</v>
      </c>
    </row>
    <row r="200" spans="1:9" ht="18.75" x14ac:dyDescent="0.3">
      <c r="A200" s="28"/>
      <c r="B200" s="45" t="s">
        <v>60</v>
      </c>
      <c r="C200" s="130">
        <v>7</v>
      </c>
      <c r="D200" s="130">
        <v>9</v>
      </c>
      <c r="E200" s="130">
        <v>0</v>
      </c>
      <c r="F200" s="130">
        <v>0</v>
      </c>
      <c r="G200" s="79">
        <f t="shared" si="68"/>
        <v>9</v>
      </c>
      <c r="H200" s="119">
        <f t="shared" si="69"/>
        <v>1</v>
      </c>
      <c r="I200" s="119">
        <f t="shared" si="70"/>
        <v>1</v>
      </c>
    </row>
    <row r="201" spans="1:9" ht="18.75" x14ac:dyDescent="0.3">
      <c r="A201" s="28"/>
      <c r="B201" s="45" t="s">
        <v>112</v>
      </c>
      <c r="C201" s="130">
        <v>2</v>
      </c>
      <c r="D201" s="130">
        <v>20</v>
      </c>
      <c r="E201" s="130">
        <v>0</v>
      </c>
      <c r="F201" s="130">
        <v>0</v>
      </c>
      <c r="G201" s="79">
        <f t="shared" si="68"/>
        <v>20</v>
      </c>
      <c r="H201" s="119">
        <f t="shared" si="69"/>
        <v>1</v>
      </c>
      <c r="I201" s="119">
        <f t="shared" si="70"/>
        <v>1</v>
      </c>
    </row>
    <row r="202" spans="1:9" ht="18.75" x14ac:dyDescent="0.3">
      <c r="A202" s="28"/>
      <c r="B202" s="45" t="s">
        <v>113</v>
      </c>
      <c r="C202" s="130">
        <v>1</v>
      </c>
      <c r="D202" s="130">
        <v>1</v>
      </c>
      <c r="E202" s="130">
        <v>0</v>
      </c>
      <c r="F202" s="130">
        <v>0</v>
      </c>
      <c r="G202" s="79">
        <f t="shared" si="68"/>
        <v>1</v>
      </c>
      <c r="H202" s="119">
        <f t="shared" si="69"/>
        <v>1</v>
      </c>
      <c r="I202" s="119">
        <f t="shared" si="70"/>
        <v>1</v>
      </c>
    </row>
    <row r="203" spans="1:9" ht="18.75" x14ac:dyDescent="0.3">
      <c r="A203" s="28"/>
      <c r="B203" s="45" t="s">
        <v>114</v>
      </c>
      <c r="C203" s="130">
        <v>1</v>
      </c>
      <c r="D203" s="130">
        <v>8</v>
      </c>
      <c r="E203" s="130">
        <v>0</v>
      </c>
      <c r="F203" s="130">
        <v>0</v>
      </c>
      <c r="G203" s="79">
        <f t="shared" si="68"/>
        <v>8</v>
      </c>
      <c r="H203" s="119">
        <f t="shared" si="69"/>
        <v>1</v>
      </c>
      <c r="I203" s="119">
        <f t="shared" si="70"/>
        <v>1</v>
      </c>
    </row>
    <row r="204" spans="1:9" ht="18.75" x14ac:dyDescent="0.3">
      <c r="A204" s="28"/>
      <c r="B204" s="45" t="s">
        <v>167</v>
      </c>
      <c r="C204" s="130">
        <v>30</v>
      </c>
      <c r="D204" s="130">
        <v>18</v>
      </c>
      <c r="E204" s="130">
        <v>1</v>
      </c>
      <c r="F204" s="130">
        <v>2</v>
      </c>
      <c r="G204" s="79">
        <f t="shared" si="68"/>
        <v>21</v>
      </c>
      <c r="H204" s="119">
        <f t="shared" si="69"/>
        <v>0.7</v>
      </c>
      <c r="I204" s="119">
        <f t="shared" si="70"/>
        <v>0.8571428571428571</v>
      </c>
    </row>
    <row r="205" spans="1:9" ht="18.75" x14ac:dyDescent="0.3">
      <c r="A205" s="28"/>
      <c r="B205" s="45" t="s">
        <v>115</v>
      </c>
      <c r="C205" s="130">
        <v>0</v>
      </c>
      <c r="D205" s="130">
        <v>0</v>
      </c>
      <c r="E205" s="130">
        <v>0</v>
      </c>
      <c r="F205" s="130">
        <v>0</v>
      </c>
      <c r="G205" s="79">
        <f t="shared" si="68"/>
        <v>0</v>
      </c>
      <c r="H205" s="119" t="str">
        <f t="shared" si="69"/>
        <v/>
      </c>
      <c r="I205" s="119" t="str">
        <f t="shared" si="70"/>
        <v/>
      </c>
    </row>
    <row r="206" spans="1:9" ht="18.75" x14ac:dyDescent="0.3">
      <c r="A206" s="28"/>
      <c r="B206" s="45" t="s">
        <v>116</v>
      </c>
      <c r="C206" s="130">
        <v>0</v>
      </c>
      <c r="D206" s="130">
        <v>0</v>
      </c>
      <c r="E206" s="130">
        <v>0</v>
      </c>
      <c r="F206" s="130">
        <v>0</v>
      </c>
      <c r="G206" s="79">
        <f t="shared" si="68"/>
        <v>0</v>
      </c>
      <c r="H206" s="119" t="str">
        <f t="shared" si="69"/>
        <v/>
      </c>
      <c r="I206" s="119" t="str">
        <f t="shared" si="70"/>
        <v/>
      </c>
    </row>
    <row r="207" spans="1:9" ht="18.75" x14ac:dyDescent="0.3">
      <c r="A207" s="28"/>
      <c r="B207" s="45" t="s">
        <v>117</v>
      </c>
      <c r="C207" s="130">
        <v>0</v>
      </c>
      <c r="D207" s="130">
        <v>0</v>
      </c>
      <c r="E207" s="130">
        <v>0</v>
      </c>
      <c r="F207" s="130">
        <v>0</v>
      </c>
      <c r="G207" s="79">
        <f t="shared" si="68"/>
        <v>0</v>
      </c>
      <c r="H207" s="119" t="str">
        <f t="shared" si="69"/>
        <v/>
      </c>
      <c r="I207" s="119" t="str">
        <f t="shared" si="70"/>
        <v/>
      </c>
    </row>
    <row r="208" spans="1:9" ht="18.75" x14ac:dyDescent="0.3">
      <c r="A208" s="28"/>
      <c r="B208" s="45" t="s">
        <v>118</v>
      </c>
      <c r="C208" s="130">
        <v>0</v>
      </c>
      <c r="D208" s="130">
        <v>0</v>
      </c>
      <c r="E208" s="130">
        <v>0</v>
      </c>
      <c r="F208" s="130">
        <v>0</v>
      </c>
      <c r="G208" s="79">
        <f t="shared" si="68"/>
        <v>0</v>
      </c>
      <c r="H208" s="119" t="str">
        <f t="shared" si="69"/>
        <v/>
      </c>
      <c r="I208" s="119" t="str">
        <f t="shared" si="70"/>
        <v/>
      </c>
    </row>
    <row r="209" spans="1:9" ht="18.75" x14ac:dyDescent="0.3">
      <c r="A209" s="28"/>
      <c r="B209" s="45" t="s">
        <v>119</v>
      </c>
      <c r="C209" s="130">
        <v>0</v>
      </c>
      <c r="D209" s="130">
        <v>0</v>
      </c>
      <c r="E209" s="130">
        <v>0</v>
      </c>
      <c r="F209" s="130">
        <v>0</v>
      </c>
      <c r="G209" s="79">
        <f t="shared" si="68"/>
        <v>0</v>
      </c>
      <c r="H209" s="119" t="str">
        <f t="shared" si="69"/>
        <v/>
      </c>
      <c r="I209" s="119" t="str">
        <f t="shared" si="70"/>
        <v/>
      </c>
    </row>
    <row r="210" spans="1:9" ht="18.75" x14ac:dyDescent="0.3">
      <c r="A210" s="28"/>
      <c r="B210" s="45" t="s">
        <v>120</v>
      </c>
      <c r="C210" s="130">
        <v>0</v>
      </c>
      <c r="D210" s="130">
        <v>0</v>
      </c>
      <c r="E210" s="130">
        <v>0</v>
      </c>
      <c r="F210" s="130">
        <v>0</v>
      </c>
      <c r="G210" s="79">
        <f t="shared" si="68"/>
        <v>0</v>
      </c>
      <c r="H210" s="119" t="str">
        <f t="shared" si="69"/>
        <v/>
      </c>
      <c r="I210" s="119" t="str">
        <f t="shared" si="70"/>
        <v/>
      </c>
    </row>
    <row r="211" spans="1:9" ht="18.75" x14ac:dyDescent="0.3">
      <c r="A211" s="28"/>
      <c r="B211" s="45" t="s">
        <v>130</v>
      </c>
      <c r="C211" s="130">
        <v>0</v>
      </c>
      <c r="D211" s="130">
        <v>0</v>
      </c>
      <c r="E211" s="130">
        <v>0</v>
      </c>
      <c r="F211" s="130">
        <v>0</v>
      </c>
      <c r="G211" s="79">
        <f t="shared" si="68"/>
        <v>0</v>
      </c>
      <c r="H211" s="119" t="str">
        <f t="shared" si="69"/>
        <v/>
      </c>
      <c r="I211" s="119" t="str">
        <f t="shared" si="70"/>
        <v/>
      </c>
    </row>
    <row r="212" spans="1:9" ht="18.75" x14ac:dyDescent="0.3">
      <c r="A212" s="28"/>
      <c r="B212" s="45" t="s">
        <v>131</v>
      </c>
      <c r="C212" s="130">
        <v>0</v>
      </c>
      <c r="D212" s="130">
        <v>0</v>
      </c>
      <c r="E212" s="130">
        <v>0</v>
      </c>
      <c r="F212" s="130">
        <v>0</v>
      </c>
      <c r="G212" s="79">
        <f t="shared" si="68"/>
        <v>0</v>
      </c>
      <c r="H212" s="119" t="str">
        <f t="shared" si="69"/>
        <v/>
      </c>
      <c r="I212" s="119" t="str">
        <f t="shared" si="70"/>
        <v/>
      </c>
    </row>
    <row r="213" spans="1:9" ht="18.75" x14ac:dyDescent="0.3">
      <c r="A213" s="28"/>
      <c r="B213" s="45" t="s">
        <v>132</v>
      </c>
      <c r="C213" s="130">
        <v>0</v>
      </c>
      <c r="D213" s="130">
        <v>0</v>
      </c>
      <c r="E213" s="130">
        <v>0</v>
      </c>
      <c r="F213" s="130">
        <v>0</v>
      </c>
      <c r="G213" s="79">
        <f t="shared" si="68"/>
        <v>0</v>
      </c>
      <c r="H213" s="119" t="str">
        <f t="shared" si="69"/>
        <v/>
      </c>
      <c r="I213" s="119" t="str">
        <f t="shared" si="70"/>
        <v/>
      </c>
    </row>
    <row r="214" spans="1:9" ht="18.75" x14ac:dyDescent="0.3">
      <c r="A214" s="28"/>
      <c r="B214" s="45" t="s">
        <v>133</v>
      </c>
      <c r="C214" s="130">
        <v>0</v>
      </c>
      <c r="D214" s="130">
        <v>0</v>
      </c>
      <c r="E214" s="130">
        <v>0</v>
      </c>
      <c r="F214" s="130">
        <v>0</v>
      </c>
      <c r="G214" s="79">
        <f t="shared" si="68"/>
        <v>0</v>
      </c>
      <c r="H214" s="119" t="str">
        <f t="shared" si="69"/>
        <v/>
      </c>
      <c r="I214" s="119" t="str">
        <f t="shared" si="70"/>
        <v/>
      </c>
    </row>
    <row r="215" spans="1:9" ht="18.75" x14ac:dyDescent="0.3">
      <c r="A215" s="28"/>
      <c r="B215" s="45" t="s">
        <v>134</v>
      </c>
      <c r="C215" s="130">
        <v>0</v>
      </c>
      <c r="D215" s="130">
        <v>0</v>
      </c>
      <c r="E215" s="130">
        <v>0</v>
      </c>
      <c r="F215" s="130">
        <v>0</v>
      </c>
      <c r="G215" s="79">
        <f t="shared" si="68"/>
        <v>0</v>
      </c>
      <c r="H215" s="119" t="str">
        <f t="shared" si="69"/>
        <v/>
      </c>
      <c r="I215" s="119" t="str">
        <f t="shared" si="70"/>
        <v/>
      </c>
    </row>
    <row r="216" spans="1:9" ht="18.75" x14ac:dyDescent="0.3">
      <c r="A216" s="28"/>
      <c r="B216" s="45" t="s">
        <v>135</v>
      </c>
      <c r="C216" s="130">
        <v>0</v>
      </c>
      <c r="D216" s="130">
        <v>0</v>
      </c>
      <c r="E216" s="130">
        <v>0</v>
      </c>
      <c r="F216" s="130">
        <v>0</v>
      </c>
      <c r="G216" s="79">
        <f t="shared" si="68"/>
        <v>0</v>
      </c>
      <c r="H216" s="119" t="str">
        <f t="shared" si="69"/>
        <v/>
      </c>
      <c r="I216" s="119" t="str">
        <f t="shared" si="70"/>
        <v/>
      </c>
    </row>
    <row r="217" spans="1:9" ht="18.75" x14ac:dyDescent="0.3">
      <c r="A217" s="28"/>
      <c r="B217" s="45" t="s">
        <v>136</v>
      </c>
      <c r="C217" s="130">
        <v>0</v>
      </c>
      <c r="D217" s="130">
        <v>0</v>
      </c>
      <c r="E217" s="130">
        <v>0</v>
      </c>
      <c r="F217" s="130">
        <v>0</v>
      </c>
      <c r="G217" s="79">
        <f t="shared" si="68"/>
        <v>0</v>
      </c>
      <c r="H217" s="119" t="str">
        <f t="shared" si="69"/>
        <v/>
      </c>
      <c r="I217" s="119" t="str">
        <f t="shared" si="70"/>
        <v/>
      </c>
    </row>
    <row r="218" spans="1:9" ht="18.75" x14ac:dyDescent="0.3">
      <c r="A218" s="28"/>
      <c r="B218" s="45" t="s">
        <v>137</v>
      </c>
      <c r="C218" s="130">
        <v>0</v>
      </c>
      <c r="D218" s="130">
        <v>0</v>
      </c>
      <c r="E218" s="130">
        <v>0</v>
      </c>
      <c r="F218" s="130">
        <v>0</v>
      </c>
      <c r="G218" s="79">
        <f t="shared" si="68"/>
        <v>0</v>
      </c>
      <c r="H218" s="119" t="str">
        <f t="shared" si="69"/>
        <v/>
      </c>
      <c r="I218" s="119" t="str">
        <f t="shared" si="70"/>
        <v/>
      </c>
    </row>
    <row r="219" spans="1:9" ht="18.75" x14ac:dyDescent="0.3">
      <c r="A219" s="28"/>
      <c r="B219" s="45" t="s">
        <v>140</v>
      </c>
      <c r="C219" s="130">
        <v>0</v>
      </c>
      <c r="D219" s="130">
        <v>0</v>
      </c>
      <c r="E219" s="130">
        <v>0</v>
      </c>
      <c r="F219" s="130">
        <v>0</v>
      </c>
      <c r="G219" s="79">
        <f t="shared" si="68"/>
        <v>0</v>
      </c>
      <c r="H219" s="119" t="str">
        <f t="shared" si="69"/>
        <v/>
      </c>
      <c r="I219" s="119" t="str">
        <f t="shared" si="70"/>
        <v/>
      </c>
    </row>
    <row r="220" spans="1:9" ht="18.75" x14ac:dyDescent="0.3">
      <c r="A220" s="28"/>
      <c r="B220" s="45" t="s">
        <v>141</v>
      </c>
      <c r="C220" s="130">
        <v>0</v>
      </c>
      <c r="D220" s="130">
        <v>0</v>
      </c>
      <c r="E220" s="130">
        <v>0</v>
      </c>
      <c r="F220" s="130">
        <v>0</v>
      </c>
      <c r="G220" s="79">
        <f t="shared" si="68"/>
        <v>0</v>
      </c>
      <c r="H220" s="119" t="str">
        <f t="shared" si="69"/>
        <v/>
      </c>
      <c r="I220" s="119" t="str">
        <f t="shared" si="70"/>
        <v/>
      </c>
    </row>
    <row r="221" spans="1:9" ht="18.75" x14ac:dyDescent="0.3">
      <c r="A221" s="28"/>
      <c r="B221" s="45" t="s">
        <v>88</v>
      </c>
      <c r="C221" s="130">
        <v>0</v>
      </c>
      <c r="D221" s="130">
        <v>0</v>
      </c>
      <c r="E221" s="130">
        <v>0</v>
      </c>
      <c r="F221" s="130">
        <v>0</v>
      </c>
      <c r="G221" s="79">
        <f t="shared" si="68"/>
        <v>0</v>
      </c>
      <c r="H221" s="119" t="str">
        <f t="shared" si="69"/>
        <v/>
      </c>
      <c r="I221" s="119" t="str">
        <f t="shared" si="70"/>
        <v/>
      </c>
    </row>
    <row r="222" spans="1:9" ht="18.75" x14ac:dyDescent="0.3">
      <c r="A222" s="28"/>
      <c r="B222" s="45" t="s">
        <v>142</v>
      </c>
      <c r="C222" s="130">
        <v>0</v>
      </c>
      <c r="D222" s="130">
        <v>0</v>
      </c>
      <c r="E222" s="130">
        <v>0</v>
      </c>
      <c r="F222" s="130">
        <v>0</v>
      </c>
      <c r="G222" s="79">
        <f t="shared" si="68"/>
        <v>0</v>
      </c>
      <c r="H222" s="119" t="str">
        <f t="shared" si="69"/>
        <v/>
      </c>
      <c r="I222" s="119" t="str">
        <f t="shared" si="70"/>
        <v/>
      </c>
    </row>
    <row r="223" spans="1:9" ht="18.75" x14ac:dyDescent="0.3">
      <c r="A223" s="28"/>
      <c r="B223" s="45" t="s">
        <v>78</v>
      </c>
      <c r="C223" s="130">
        <v>0</v>
      </c>
      <c r="D223" s="130">
        <v>0</v>
      </c>
      <c r="E223" s="130">
        <v>0</v>
      </c>
      <c r="F223" s="130">
        <v>0</v>
      </c>
      <c r="G223" s="79">
        <f t="shared" si="68"/>
        <v>0</v>
      </c>
      <c r="H223" s="119" t="str">
        <f t="shared" si="69"/>
        <v/>
      </c>
      <c r="I223" s="119" t="str">
        <f t="shared" si="70"/>
        <v/>
      </c>
    </row>
    <row r="224" spans="1:9" ht="18.75" x14ac:dyDescent="0.3">
      <c r="A224" s="82"/>
      <c r="B224" s="45" t="s">
        <v>70</v>
      </c>
      <c r="C224" s="130">
        <v>0</v>
      </c>
      <c r="D224" s="130">
        <v>0</v>
      </c>
      <c r="E224" s="130">
        <v>0</v>
      </c>
      <c r="F224" s="130">
        <v>0</v>
      </c>
      <c r="G224" s="79">
        <f t="shared" si="68"/>
        <v>0</v>
      </c>
      <c r="H224" s="119" t="str">
        <f t="shared" si="69"/>
        <v/>
      </c>
      <c r="I224" s="119" t="str">
        <f t="shared" si="70"/>
        <v/>
      </c>
    </row>
    <row r="225" spans="1:10" ht="18.75" x14ac:dyDescent="0.3">
      <c r="A225" s="28"/>
      <c r="B225" s="45" t="s">
        <v>143</v>
      </c>
      <c r="C225" s="130">
        <v>0</v>
      </c>
      <c r="D225" s="130">
        <v>0</v>
      </c>
      <c r="E225" s="130">
        <v>0</v>
      </c>
      <c r="F225" s="130">
        <v>0</v>
      </c>
      <c r="G225" s="79">
        <f t="shared" si="68"/>
        <v>0</v>
      </c>
      <c r="H225" s="119" t="str">
        <f t="shared" si="69"/>
        <v/>
      </c>
      <c r="I225" s="119" t="str">
        <f t="shared" si="70"/>
        <v/>
      </c>
    </row>
    <row r="226" spans="1:10" ht="18.75" x14ac:dyDescent="0.3">
      <c r="A226" s="28"/>
      <c r="B226" s="45" t="s">
        <v>144</v>
      </c>
      <c r="C226" s="130">
        <v>0</v>
      </c>
      <c r="D226" s="130">
        <v>0</v>
      </c>
      <c r="E226" s="130">
        <v>0</v>
      </c>
      <c r="F226" s="130">
        <v>0</v>
      </c>
      <c r="G226" s="79">
        <f t="shared" si="68"/>
        <v>0</v>
      </c>
      <c r="H226" s="119" t="str">
        <f t="shared" si="69"/>
        <v/>
      </c>
      <c r="I226" s="119" t="str">
        <f t="shared" si="70"/>
        <v/>
      </c>
    </row>
    <row r="227" spans="1:10" ht="18.75" x14ac:dyDescent="0.3">
      <c r="A227" s="28"/>
      <c r="B227" s="45" t="s">
        <v>145</v>
      </c>
      <c r="C227" s="130">
        <v>0</v>
      </c>
      <c r="D227" s="130">
        <v>0</v>
      </c>
      <c r="E227" s="130">
        <v>0</v>
      </c>
      <c r="F227" s="130">
        <v>0</v>
      </c>
      <c r="G227" s="79">
        <f t="shared" si="68"/>
        <v>0</v>
      </c>
      <c r="H227" s="119" t="str">
        <f t="shared" si="69"/>
        <v/>
      </c>
      <c r="I227" s="119" t="str">
        <f t="shared" si="70"/>
        <v/>
      </c>
    </row>
    <row r="228" spans="1:10" ht="18.75" x14ac:dyDescent="0.3">
      <c r="A228" s="28"/>
      <c r="B228" s="45" t="s">
        <v>146</v>
      </c>
      <c r="C228" s="130">
        <v>0</v>
      </c>
      <c r="D228" s="130">
        <v>0</v>
      </c>
      <c r="E228" s="130">
        <v>0</v>
      </c>
      <c r="F228" s="130">
        <v>0</v>
      </c>
      <c r="G228" s="79">
        <f t="shared" si="68"/>
        <v>0</v>
      </c>
      <c r="H228" s="119" t="str">
        <f t="shared" si="69"/>
        <v/>
      </c>
      <c r="I228" s="119" t="str">
        <f t="shared" si="70"/>
        <v/>
      </c>
    </row>
    <row r="229" spans="1:10" ht="18.75" x14ac:dyDescent="0.3">
      <c r="A229" s="28"/>
      <c r="B229" s="45" t="s">
        <v>170</v>
      </c>
      <c r="C229" s="130">
        <v>0</v>
      </c>
      <c r="D229" s="130">
        <v>0</v>
      </c>
      <c r="E229" s="130">
        <v>0</v>
      </c>
      <c r="F229" s="130">
        <v>0</v>
      </c>
      <c r="G229" s="79">
        <f t="shared" si="68"/>
        <v>0</v>
      </c>
      <c r="H229" s="119" t="str">
        <f t="shared" si="69"/>
        <v/>
      </c>
      <c r="I229" s="119" t="str">
        <f t="shared" si="70"/>
        <v/>
      </c>
    </row>
    <row r="230" spans="1:10" ht="18.75" x14ac:dyDescent="0.3">
      <c r="A230" s="28"/>
      <c r="B230" s="45" t="s">
        <v>79</v>
      </c>
      <c r="C230" s="130">
        <v>0</v>
      </c>
      <c r="D230" s="130">
        <v>0</v>
      </c>
      <c r="E230" s="130">
        <v>0</v>
      </c>
      <c r="F230" s="130">
        <v>0</v>
      </c>
      <c r="G230" s="79">
        <f t="shared" si="68"/>
        <v>0</v>
      </c>
      <c r="H230" s="119" t="str">
        <f t="shared" si="69"/>
        <v/>
      </c>
      <c r="I230" s="119" t="str">
        <f t="shared" si="70"/>
        <v/>
      </c>
    </row>
    <row r="231" spans="1:10" ht="18.75" x14ac:dyDescent="0.3">
      <c r="A231" s="28"/>
      <c r="B231" s="45" t="s">
        <v>165</v>
      </c>
      <c r="C231" s="130">
        <v>0</v>
      </c>
      <c r="D231" s="130">
        <v>0</v>
      </c>
      <c r="E231" s="130">
        <v>0</v>
      </c>
      <c r="F231" s="130">
        <v>0</v>
      </c>
      <c r="G231" s="79">
        <f t="shared" si="68"/>
        <v>0</v>
      </c>
      <c r="H231" s="119" t="str">
        <f t="shared" si="69"/>
        <v/>
      </c>
      <c r="I231" s="119" t="str">
        <f t="shared" si="70"/>
        <v/>
      </c>
    </row>
    <row r="232" spans="1:10" ht="18.75" x14ac:dyDescent="0.3">
      <c r="A232" s="28"/>
      <c r="B232" s="45" t="s">
        <v>160</v>
      </c>
      <c r="C232" s="130">
        <v>0</v>
      </c>
      <c r="D232" s="130">
        <v>0</v>
      </c>
      <c r="E232" s="130">
        <v>0</v>
      </c>
      <c r="F232" s="130">
        <v>0</v>
      </c>
      <c r="G232" s="79">
        <f t="shared" si="68"/>
        <v>0</v>
      </c>
      <c r="H232" s="119" t="str">
        <f t="shared" si="69"/>
        <v/>
      </c>
      <c r="I232" s="119" t="str">
        <f t="shared" si="70"/>
        <v/>
      </c>
    </row>
    <row r="233" spans="1:10" ht="18.75" x14ac:dyDescent="0.3">
      <c r="A233" s="28"/>
      <c r="B233" s="45" t="s">
        <v>161</v>
      </c>
      <c r="C233" s="130">
        <v>0</v>
      </c>
      <c r="D233" s="130">
        <v>0</v>
      </c>
      <c r="E233" s="130">
        <v>0</v>
      </c>
      <c r="F233" s="130">
        <v>0</v>
      </c>
      <c r="G233" s="79">
        <f t="shared" si="68"/>
        <v>0</v>
      </c>
      <c r="H233" s="119" t="str">
        <f t="shared" si="69"/>
        <v/>
      </c>
      <c r="I233" s="119" t="str">
        <f t="shared" si="70"/>
        <v/>
      </c>
    </row>
    <row r="234" spans="1:10" ht="18.75" x14ac:dyDescent="0.3">
      <c r="A234" s="28"/>
      <c r="B234" s="45" t="s">
        <v>162</v>
      </c>
      <c r="C234" s="130">
        <v>0</v>
      </c>
      <c r="D234" s="130">
        <v>0</v>
      </c>
      <c r="E234" s="130">
        <v>0</v>
      </c>
      <c r="F234" s="130">
        <v>0</v>
      </c>
      <c r="G234" s="79">
        <f t="shared" si="68"/>
        <v>0</v>
      </c>
      <c r="H234" s="119" t="str">
        <f t="shared" si="69"/>
        <v/>
      </c>
      <c r="I234" s="119" t="str">
        <f t="shared" si="70"/>
        <v/>
      </c>
    </row>
    <row r="235" spans="1:10" ht="18.75" x14ac:dyDescent="0.3">
      <c r="A235" s="28"/>
      <c r="B235" s="45" t="s">
        <v>163</v>
      </c>
      <c r="C235" s="130">
        <v>0</v>
      </c>
      <c r="D235" s="130">
        <v>0</v>
      </c>
      <c r="E235" s="130">
        <v>0</v>
      </c>
      <c r="F235" s="130">
        <v>0</v>
      </c>
      <c r="G235" s="79">
        <f t="shared" si="68"/>
        <v>0</v>
      </c>
      <c r="H235" s="119" t="str">
        <f t="shared" si="69"/>
        <v/>
      </c>
      <c r="I235" s="119" t="str">
        <f t="shared" si="70"/>
        <v/>
      </c>
    </row>
    <row r="236" spans="1:10" ht="18.75" x14ac:dyDescent="0.3">
      <c r="A236" s="28"/>
      <c r="B236" s="45" t="s">
        <v>164</v>
      </c>
      <c r="C236" s="130">
        <v>0</v>
      </c>
      <c r="D236" s="130">
        <v>0</v>
      </c>
      <c r="E236" s="130">
        <v>0</v>
      </c>
      <c r="F236" s="130">
        <v>0</v>
      </c>
      <c r="G236" s="79">
        <f t="shared" si="68"/>
        <v>0</v>
      </c>
      <c r="H236" s="119" t="str">
        <f t="shared" si="69"/>
        <v/>
      </c>
      <c r="I236" s="119" t="str">
        <f t="shared" si="70"/>
        <v/>
      </c>
    </row>
    <row r="237" spans="1:10" ht="18.75" x14ac:dyDescent="0.3">
      <c r="A237" s="28"/>
      <c r="B237" s="42" t="s">
        <v>147</v>
      </c>
      <c r="C237" s="130">
        <v>31</v>
      </c>
      <c r="D237" s="130">
        <v>66</v>
      </c>
      <c r="E237" s="130">
        <v>5</v>
      </c>
      <c r="F237" s="130">
        <v>0</v>
      </c>
      <c r="G237" s="79">
        <f t="shared" si="68"/>
        <v>71</v>
      </c>
      <c r="H237" s="119">
        <f t="shared" si="69"/>
        <v>1</v>
      </c>
      <c r="I237" s="119">
        <f t="shared" si="70"/>
        <v>0.92957746478873238</v>
      </c>
    </row>
    <row r="238" spans="1:10" ht="18.75" x14ac:dyDescent="0.3">
      <c r="A238" s="28"/>
      <c r="B238" s="42" t="s">
        <v>151</v>
      </c>
      <c r="C238" s="130">
        <v>2</v>
      </c>
      <c r="D238" s="130">
        <v>2</v>
      </c>
      <c r="E238" s="130">
        <v>0</v>
      </c>
      <c r="F238" s="130">
        <v>0</v>
      </c>
      <c r="G238" s="79">
        <f t="shared" si="68"/>
        <v>2</v>
      </c>
      <c r="H238" s="119">
        <f t="shared" si="69"/>
        <v>1</v>
      </c>
      <c r="I238" s="119">
        <f t="shared" si="70"/>
        <v>1</v>
      </c>
    </row>
    <row r="239" spans="1:10" s="34" customFormat="1" ht="18.75" x14ac:dyDescent="0.3">
      <c r="A239" s="83"/>
      <c r="B239" s="42" t="s">
        <v>63</v>
      </c>
      <c r="C239" s="130">
        <v>0</v>
      </c>
      <c r="D239" s="130">
        <v>0</v>
      </c>
      <c r="E239" s="130">
        <v>0</v>
      </c>
      <c r="F239" s="130">
        <v>0</v>
      </c>
      <c r="G239" s="79">
        <f t="shared" si="68"/>
        <v>0</v>
      </c>
      <c r="H239" s="119" t="str">
        <f t="shared" si="69"/>
        <v/>
      </c>
      <c r="I239" s="119" t="str">
        <f t="shared" si="70"/>
        <v/>
      </c>
      <c r="J239" s="54"/>
    </row>
    <row r="240" spans="1:10" s="34" customFormat="1" ht="18.75" x14ac:dyDescent="0.3">
      <c r="A240" s="83"/>
      <c r="B240" s="42" t="s">
        <v>93</v>
      </c>
      <c r="C240" s="130">
        <v>0</v>
      </c>
      <c r="D240" s="130">
        <v>0</v>
      </c>
      <c r="E240" s="130">
        <v>0</v>
      </c>
      <c r="F240" s="130">
        <v>0</v>
      </c>
      <c r="G240" s="79">
        <f t="shared" si="68"/>
        <v>0</v>
      </c>
      <c r="H240" s="119" t="str">
        <f t="shared" si="69"/>
        <v/>
      </c>
      <c r="I240" s="119" t="str">
        <f t="shared" si="70"/>
        <v/>
      </c>
      <c r="J240" s="54"/>
    </row>
    <row r="241" spans="1:10" s="34" customFormat="1" ht="18.75" x14ac:dyDescent="0.3">
      <c r="A241" s="83"/>
      <c r="B241" s="46" t="s">
        <v>61</v>
      </c>
      <c r="C241" s="130">
        <v>13</v>
      </c>
      <c r="D241" s="130">
        <v>15</v>
      </c>
      <c r="E241" s="130">
        <v>0</v>
      </c>
      <c r="F241" s="130">
        <v>0</v>
      </c>
      <c r="G241" s="79">
        <f t="shared" si="68"/>
        <v>15</v>
      </c>
      <c r="H241" s="119">
        <f t="shared" si="69"/>
        <v>1</v>
      </c>
      <c r="I241" s="119">
        <f t="shared" si="70"/>
        <v>1</v>
      </c>
      <c r="J241" s="54"/>
    </row>
    <row r="242" spans="1:10" s="34" customFormat="1" ht="18.75" x14ac:dyDescent="0.3">
      <c r="A242" s="83"/>
      <c r="B242" s="46" t="s">
        <v>55</v>
      </c>
      <c r="C242" s="130">
        <v>16</v>
      </c>
      <c r="D242" s="130">
        <v>17</v>
      </c>
      <c r="E242" s="130">
        <v>0</v>
      </c>
      <c r="F242" s="130">
        <v>0</v>
      </c>
      <c r="G242" s="79">
        <f t="shared" si="68"/>
        <v>17</v>
      </c>
      <c r="H242" s="119">
        <f t="shared" si="69"/>
        <v>1</v>
      </c>
      <c r="I242" s="119">
        <f t="shared" si="70"/>
        <v>1</v>
      </c>
      <c r="J242" s="54"/>
    </row>
    <row r="243" spans="1:10" s="34" customFormat="1" ht="18.75" x14ac:dyDescent="0.3">
      <c r="A243" s="83"/>
      <c r="B243" s="46" t="s">
        <v>184</v>
      </c>
      <c r="C243" s="130">
        <v>23</v>
      </c>
      <c r="D243" s="130">
        <v>8</v>
      </c>
      <c r="E243" s="130">
        <v>0</v>
      </c>
      <c r="F243" s="130">
        <v>0</v>
      </c>
      <c r="G243" s="79">
        <f t="shared" si="68"/>
        <v>8</v>
      </c>
      <c r="H243" s="119">
        <f t="shared" si="69"/>
        <v>0.34782608695652173</v>
      </c>
      <c r="I243" s="119">
        <f t="shared" si="70"/>
        <v>1</v>
      </c>
      <c r="J243" s="54"/>
    </row>
    <row r="244" spans="1:10" s="34" customFormat="1" ht="18.75" x14ac:dyDescent="0.3">
      <c r="A244" s="83"/>
      <c r="B244" s="46" t="s">
        <v>185</v>
      </c>
      <c r="C244" s="130">
        <v>7</v>
      </c>
      <c r="D244" s="130">
        <v>10</v>
      </c>
      <c r="E244" s="130">
        <v>0</v>
      </c>
      <c r="F244" s="130">
        <v>0</v>
      </c>
      <c r="G244" s="79">
        <f t="shared" si="68"/>
        <v>10</v>
      </c>
      <c r="H244" s="119">
        <f t="shared" si="69"/>
        <v>1</v>
      </c>
      <c r="I244" s="119">
        <f t="shared" si="70"/>
        <v>1</v>
      </c>
      <c r="J244" s="54"/>
    </row>
    <row r="245" spans="1:10" s="34" customFormat="1" ht="18.75" x14ac:dyDescent="0.3">
      <c r="A245" s="83"/>
      <c r="B245" s="46" t="s">
        <v>186</v>
      </c>
      <c r="C245" s="130">
        <v>1</v>
      </c>
      <c r="D245" s="130">
        <v>0</v>
      </c>
      <c r="E245" s="130">
        <v>0</v>
      </c>
      <c r="F245" s="130">
        <v>0</v>
      </c>
      <c r="G245" s="79">
        <f t="shared" si="68"/>
        <v>0</v>
      </c>
      <c r="H245" s="119">
        <f t="shared" si="69"/>
        <v>0</v>
      </c>
      <c r="I245" s="119" t="str">
        <f t="shared" si="70"/>
        <v/>
      </c>
      <c r="J245" s="54"/>
    </row>
    <row r="246" spans="1:10" s="34" customFormat="1" ht="18.75" x14ac:dyDescent="0.3">
      <c r="A246" s="83"/>
      <c r="B246" s="46" t="s">
        <v>187</v>
      </c>
      <c r="C246" s="130">
        <v>46</v>
      </c>
      <c r="D246" s="130">
        <v>112</v>
      </c>
      <c r="E246" s="130">
        <v>0</v>
      </c>
      <c r="F246" s="130">
        <v>0</v>
      </c>
      <c r="G246" s="79">
        <f t="shared" si="68"/>
        <v>112</v>
      </c>
      <c r="H246" s="119">
        <f t="shared" si="69"/>
        <v>1</v>
      </c>
      <c r="I246" s="119">
        <f t="shared" si="70"/>
        <v>1</v>
      </c>
      <c r="J246" s="54"/>
    </row>
    <row r="247" spans="1:10" s="34" customFormat="1" ht="18.75" x14ac:dyDescent="0.3">
      <c r="A247" s="83"/>
      <c r="B247" s="46" t="s">
        <v>149</v>
      </c>
      <c r="C247" s="130">
        <v>0</v>
      </c>
      <c r="D247" s="130">
        <v>0</v>
      </c>
      <c r="E247" s="130">
        <v>0</v>
      </c>
      <c r="F247" s="130">
        <v>0</v>
      </c>
      <c r="G247" s="79">
        <f t="shared" si="68"/>
        <v>0</v>
      </c>
      <c r="H247" s="119" t="str">
        <f t="shared" si="69"/>
        <v/>
      </c>
      <c r="I247" s="119" t="str">
        <f t="shared" si="70"/>
        <v/>
      </c>
      <c r="J247" s="54"/>
    </row>
    <row r="248" spans="1:10" s="34" customFormat="1" ht="18.75" x14ac:dyDescent="0.3">
      <c r="A248" s="83"/>
      <c r="B248" s="46" t="s">
        <v>188</v>
      </c>
      <c r="C248" s="130">
        <v>0</v>
      </c>
      <c r="D248" s="130">
        <v>0</v>
      </c>
      <c r="E248" s="130">
        <v>0</v>
      </c>
      <c r="F248" s="130">
        <v>0</v>
      </c>
      <c r="G248" s="79">
        <f t="shared" si="68"/>
        <v>0</v>
      </c>
      <c r="H248" s="119" t="str">
        <f t="shared" si="69"/>
        <v/>
      </c>
      <c r="I248" s="119" t="str">
        <f t="shared" si="70"/>
        <v/>
      </c>
      <c r="J248" s="54"/>
    </row>
    <row r="249" spans="1:10" s="34" customFormat="1" ht="18.75" x14ac:dyDescent="0.3">
      <c r="A249" s="83"/>
      <c r="B249" s="46" t="s">
        <v>71</v>
      </c>
      <c r="C249" s="130">
        <v>0</v>
      </c>
      <c r="D249" s="130">
        <v>0</v>
      </c>
      <c r="E249" s="130">
        <v>0</v>
      </c>
      <c r="F249" s="130">
        <v>0</v>
      </c>
      <c r="G249" s="79">
        <f t="shared" si="68"/>
        <v>0</v>
      </c>
      <c r="H249" s="119" t="str">
        <f t="shared" si="69"/>
        <v/>
      </c>
      <c r="I249" s="119" t="str">
        <f t="shared" si="70"/>
        <v/>
      </c>
      <c r="J249" s="54"/>
    </row>
    <row r="250" spans="1:10" s="34" customFormat="1" ht="18.75" x14ac:dyDescent="0.3">
      <c r="A250" s="83"/>
      <c r="B250" s="47" t="s">
        <v>64</v>
      </c>
      <c r="C250" s="130">
        <v>0</v>
      </c>
      <c r="D250" s="130">
        <v>0</v>
      </c>
      <c r="E250" s="130">
        <v>0</v>
      </c>
      <c r="F250" s="130">
        <v>0</v>
      </c>
      <c r="G250" s="79">
        <f t="shared" si="68"/>
        <v>0</v>
      </c>
      <c r="H250" s="119" t="str">
        <f t="shared" si="69"/>
        <v/>
      </c>
      <c r="I250" s="119" t="str">
        <f t="shared" si="70"/>
        <v/>
      </c>
      <c r="J250" s="54"/>
    </row>
    <row r="251" spans="1:10" s="34" customFormat="1" ht="18.75" x14ac:dyDescent="0.3">
      <c r="A251" s="83"/>
      <c r="B251" s="46" t="s">
        <v>56</v>
      </c>
      <c r="C251" s="130">
        <v>0</v>
      </c>
      <c r="D251" s="130">
        <v>0</v>
      </c>
      <c r="E251" s="130">
        <v>0</v>
      </c>
      <c r="F251" s="130">
        <v>0</v>
      </c>
      <c r="G251" s="79">
        <f t="shared" si="68"/>
        <v>0</v>
      </c>
      <c r="H251" s="119" t="str">
        <f t="shared" si="69"/>
        <v/>
      </c>
      <c r="I251" s="119" t="str">
        <f t="shared" si="70"/>
        <v/>
      </c>
      <c r="J251" s="54"/>
    </row>
    <row r="252" spans="1:10" s="34" customFormat="1" ht="18.75" x14ac:dyDescent="0.3">
      <c r="A252" s="83"/>
      <c r="B252" s="46" t="s">
        <v>189</v>
      </c>
      <c r="C252" s="130">
        <v>5</v>
      </c>
      <c r="D252" s="130">
        <v>1</v>
      </c>
      <c r="E252" s="130">
        <v>0</v>
      </c>
      <c r="F252" s="130">
        <v>0</v>
      </c>
      <c r="G252" s="79">
        <f t="shared" si="68"/>
        <v>1</v>
      </c>
      <c r="H252" s="119">
        <f t="shared" si="69"/>
        <v>0.2</v>
      </c>
      <c r="I252" s="119">
        <f t="shared" si="70"/>
        <v>1</v>
      </c>
      <c r="J252" s="54"/>
    </row>
    <row r="253" spans="1:10" s="34" customFormat="1" ht="18.75" x14ac:dyDescent="0.3">
      <c r="A253" s="83"/>
      <c r="B253" s="46" t="s">
        <v>148</v>
      </c>
      <c r="C253" s="130">
        <v>0</v>
      </c>
      <c r="D253" s="130">
        <v>0</v>
      </c>
      <c r="E253" s="130">
        <v>0</v>
      </c>
      <c r="F253" s="130">
        <v>0</v>
      </c>
      <c r="G253" s="79">
        <f t="shared" si="68"/>
        <v>0</v>
      </c>
      <c r="H253" s="119" t="str">
        <f t="shared" si="69"/>
        <v/>
      </c>
      <c r="I253" s="119" t="str">
        <f t="shared" si="70"/>
        <v/>
      </c>
      <c r="J253" s="54"/>
    </row>
    <row r="254" spans="1:10" s="34" customFormat="1" ht="18.75" x14ac:dyDescent="0.3">
      <c r="A254" s="83"/>
      <c r="B254" s="46" t="s">
        <v>66</v>
      </c>
      <c r="C254" s="130">
        <v>0</v>
      </c>
      <c r="D254" s="130">
        <v>0</v>
      </c>
      <c r="E254" s="130">
        <v>0</v>
      </c>
      <c r="F254" s="130">
        <v>0</v>
      </c>
      <c r="G254" s="79">
        <f t="shared" si="68"/>
        <v>0</v>
      </c>
      <c r="H254" s="119" t="str">
        <f t="shared" si="69"/>
        <v/>
      </c>
      <c r="I254" s="119" t="str">
        <f t="shared" si="70"/>
        <v/>
      </c>
      <c r="J254" s="54"/>
    </row>
    <row r="255" spans="1:10" s="34" customFormat="1" ht="18.75" x14ac:dyDescent="0.3">
      <c r="A255" s="83"/>
      <c r="B255" s="46" t="s">
        <v>67</v>
      </c>
      <c r="C255" s="130">
        <v>0</v>
      </c>
      <c r="D255" s="130">
        <v>0</v>
      </c>
      <c r="E255" s="130">
        <v>0</v>
      </c>
      <c r="F255" s="130">
        <v>0</v>
      </c>
      <c r="G255" s="79">
        <f t="shared" si="68"/>
        <v>0</v>
      </c>
      <c r="H255" s="119" t="str">
        <f t="shared" si="69"/>
        <v/>
      </c>
      <c r="I255" s="119" t="str">
        <f t="shared" si="70"/>
        <v/>
      </c>
      <c r="J255" s="54"/>
    </row>
    <row r="256" spans="1:10" s="34" customFormat="1" ht="18.75" x14ac:dyDescent="0.3">
      <c r="A256" s="83"/>
      <c r="B256" s="46" t="s">
        <v>150</v>
      </c>
      <c r="C256" s="130">
        <v>0</v>
      </c>
      <c r="D256" s="130">
        <v>0</v>
      </c>
      <c r="E256" s="130">
        <v>0</v>
      </c>
      <c r="F256" s="130">
        <v>0</v>
      </c>
      <c r="G256" s="79">
        <f t="shared" si="68"/>
        <v>0</v>
      </c>
      <c r="H256" s="119" t="str">
        <f t="shared" si="69"/>
        <v/>
      </c>
      <c r="I256" s="119" t="str">
        <f t="shared" si="70"/>
        <v/>
      </c>
      <c r="J256" s="54"/>
    </row>
    <row r="257" spans="1:10" s="34" customFormat="1" ht="18.75" x14ac:dyDescent="0.3">
      <c r="A257" s="83"/>
      <c r="B257" s="48" t="s">
        <v>77</v>
      </c>
      <c r="C257" s="130">
        <v>0</v>
      </c>
      <c r="D257" s="130">
        <v>0</v>
      </c>
      <c r="E257" s="130">
        <v>0</v>
      </c>
      <c r="F257" s="130">
        <v>0</v>
      </c>
      <c r="G257" s="79">
        <f t="shared" si="68"/>
        <v>0</v>
      </c>
      <c r="H257" s="119" t="str">
        <f t="shared" si="69"/>
        <v/>
      </c>
      <c r="I257" s="119" t="str">
        <f t="shared" si="70"/>
        <v/>
      </c>
      <c r="J257" s="54"/>
    </row>
    <row r="258" spans="1:10" s="34" customFormat="1" ht="18.75" x14ac:dyDescent="0.3">
      <c r="A258" s="83"/>
      <c r="B258" s="46" t="s">
        <v>190</v>
      </c>
      <c r="C258" s="130">
        <v>2</v>
      </c>
      <c r="D258" s="130">
        <v>12</v>
      </c>
      <c r="E258" s="130">
        <v>2</v>
      </c>
      <c r="F258" s="130">
        <v>1</v>
      </c>
      <c r="G258" s="79">
        <f t="shared" si="68"/>
        <v>15</v>
      </c>
      <c r="H258" s="119">
        <f t="shared" si="69"/>
        <v>1</v>
      </c>
      <c r="I258" s="119">
        <f t="shared" si="70"/>
        <v>0.8</v>
      </c>
      <c r="J258" s="54"/>
    </row>
    <row r="259" spans="1:10" s="34" customFormat="1" ht="18.75" x14ac:dyDescent="0.3">
      <c r="A259" s="83"/>
      <c r="B259" s="46" t="s">
        <v>191</v>
      </c>
      <c r="C259" s="130">
        <v>9</v>
      </c>
      <c r="D259" s="130">
        <v>12</v>
      </c>
      <c r="E259" s="130">
        <v>0</v>
      </c>
      <c r="F259" s="130">
        <v>0</v>
      </c>
      <c r="G259" s="79">
        <f t="shared" si="68"/>
        <v>12</v>
      </c>
      <c r="H259" s="119">
        <f t="shared" si="69"/>
        <v>1</v>
      </c>
      <c r="I259" s="119">
        <f t="shared" si="70"/>
        <v>1</v>
      </c>
      <c r="J259" s="54"/>
    </row>
    <row r="260" spans="1:10" s="34" customFormat="1" ht="18.75" x14ac:dyDescent="0.3">
      <c r="A260" s="83"/>
      <c r="B260" s="46" t="s">
        <v>171</v>
      </c>
      <c r="C260" s="130">
        <v>0</v>
      </c>
      <c r="D260" s="130">
        <v>0</v>
      </c>
      <c r="E260" s="130">
        <v>0</v>
      </c>
      <c r="F260" s="130">
        <v>0</v>
      </c>
      <c r="G260" s="79">
        <f t="shared" si="68"/>
        <v>0</v>
      </c>
      <c r="H260" s="119" t="str">
        <f t="shared" si="69"/>
        <v/>
      </c>
      <c r="I260" s="119" t="str">
        <f t="shared" si="70"/>
        <v/>
      </c>
      <c r="J260" s="54"/>
    </row>
    <row r="261" spans="1:10" s="34" customFormat="1" ht="18.75" x14ac:dyDescent="0.3">
      <c r="A261" s="83"/>
      <c r="B261" s="46" t="s">
        <v>90</v>
      </c>
      <c r="C261" s="130">
        <v>0</v>
      </c>
      <c r="D261" s="130">
        <v>0</v>
      </c>
      <c r="E261" s="130">
        <v>0</v>
      </c>
      <c r="F261" s="130">
        <v>0</v>
      </c>
      <c r="G261" s="79">
        <f t="shared" si="68"/>
        <v>0</v>
      </c>
      <c r="H261" s="119" t="str">
        <f t="shared" si="69"/>
        <v/>
      </c>
      <c r="I261" s="119" t="str">
        <f t="shared" si="70"/>
        <v/>
      </c>
      <c r="J261" s="54"/>
    </row>
    <row r="262" spans="1:10" s="34" customFormat="1" ht="18.75" x14ac:dyDescent="0.3">
      <c r="A262" s="83"/>
      <c r="B262" s="46" t="s">
        <v>138</v>
      </c>
      <c r="C262" s="130">
        <v>0</v>
      </c>
      <c r="D262" s="130">
        <v>0</v>
      </c>
      <c r="E262" s="130">
        <v>0</v>
      </c>
      <c r="F262" s="130">
        <v>0</v>
      </c>
      <c r="G262" s="79">
        <f t="shared" ref="G262:G285" si="71">IF(OR(D262="",E262="",F262="")," ",D262+E262+F262)</f>
        <v>0</v>
      </c>
      <c r="H262" s="119" t="str">
        <f t="shared" ref="H262:H285" si="72">IFERROR(MIN(1,G262/C262),"")</f>
        <v/>
      </c>
      <c r="I262" s="119" t="str">
        <f t="shared" ref="I262:I272" si="73">IF(OR(C262=0),"",IFERROR(MIN(1,D262/G262),""))</f>
        <v/>
      </c>
      <c r="J262" s="54"/>
    </row>
    <row r="263" spans="1:10" s="34" customFormat="1" ht="18.75" x14ac:dyDescent="0.3">
      <c r="A263" s="83"/>
      <c r="B263" s="46" t="s">
        <v>139</v>
      </c>
      <c r="C263" s="130">
        <v>0</v>
      </c>
      <c r="D263" s="130">
        <v>0</v>
      </c>
      <c r="E263" s="130">
        <v>0</v>
      </c>
      <c r="F263" s="130">
        <v>0</v>
      </c>
      <c r="G263" s="79">
        <f t="shared" si="71"/>
        <v>0</v>
      </c>
      <c r="H263" s="119" t="str">
        <f t="shared" si="72"/>
        <v/>
      </c>
      <c r="I263" s="119" t="str">
        <f t="shared" si="73"/>
        <v/>
      </c>
      <c r="J263" s="54"/>
    </row>
    <row r="264" spans="1:10" s="34" customFormat="1" ht="18.75" x14ac:dyDescent="0.3">
      <c r="A264" s="83"/>
      <c r="B264" s="46" t="s">
        <v>62</v>
      </c>
      <c r="C264" s="130">
        <v>0</v>
      </c>
      <c r="D264" s="130">
        <v>0</v>
      </c>
      <c r="E264" s="130">
        <v>0</v>
      </c>
      <c r="F264" s="130">
        <v>0</v>
      </c>
      <c r="G264" s="79">
        <f t="shared" si="71"/>
        <v>0</v>
      </c>
      <c r="H264" s="119" t="str">
        <f t="shared" si="72"/>
        <v/>
      </c>
      <c r="I264" s="119" t="str">
        <f t="shared" si="73"/>
        <v/>
      </c>
      <c r="J264" s="54"/>
    </row>
    <row r="265" spans="1:10" s="34" customFormat="1" ht="18.75" x14ac:dyDescent="0.3">
      <c r="A265" s="83"/>
      <c r="B265" s="46" t="s">
        <v>169</v>
      </c>
      <c r="C265" s="130">
        <v>0</v>
      </c>
      <c r="D265" s="130">
        <v>0</v>
      </c>
      <c r="E265" s="130">
        <v>0</v>
      </c>
      <c r="F265" s="130">
        <v>0</v>
      </c>
      <c r="G265" s="79">
        <f t="shared" si="71"/>
        <v>0</v>
      </c>
      <c r="H265" s="119" t="str">
        <f t="shared" si="72"/>
        <v/>
      </c>
      <c r="I265" s="119" t="str">
        <f t="shared" si="73"/>
        <v/>
      </c>
      <c r="J265" s="54"/>
    </row>
    <row r="266" spans="1:10" s="34" customFormat="1" ht="18.75" x14ac:dyDescent="0.3">
      <c r="A266" s="83"/>
      <c r="B266" s="46" t="s">
        <v>65</v>
      </c>
      <c r="C266" s="130">
        <v>1</v>
      </c>
      <c r="D266" s="130">
        <v>1</v>
      </c>
      <c r="E266" s="130">
        <v>1</v>
      </c>
      <c r="F266" s="130">
        <v>0</v>
      </c>
      <c r="G266" s="79">
        <f t="shared" si="71"/>
        <v>2</v>
      </c>
      <c r="H266" s="119">
        <f t="shared" si="72"/>
        <v>1</v>
      </c>
      <c r="I266" s="119">
        <f t="shared" si="73"/>
        <v>0.5</v>
      </c>
      <c r="J266" s="54"/>
    </row>
    <row r="267" spans="1:10" s="34" customFormat="1" ht="18.75" x14ac:dyDescent="0.3">
      <c r="A267" s="83"/>
      <c r="B267" s="46" t="s">
        <v>155</v>
      </c>
      <c r="C267" s="130">
        <v>0</v>
      </c>
      <c r="D267" s="130">
        <v>0</v>
      </c>
      <c r="E267" s="130">
        <v>0</v>
      </c>
      <c r="F267" s="130">
        <v>0</v>
      </c>
      <c r="G267" s="79">
        <f t="shared" si="71"/>
        <v>0</v>
      </c>
      <c r="H267" s="119" t="str">
        <f t="shared" si="72"/>
        <v/>
      </c>
      <c r="I267" s="119" t="str">
        <f t="shared" si="73"/>
        <v/>
      </c>
      <c r="J267" s="54"/>
    </row>
    <row r="268" spans="1:10" s="34" customFormat="1" ht="18.75" x14ac:dyDescent="0.3">
      <c r="A268" s="83"/>
      <c r="B268" s="46" t="s">
        <v>192</v>
      </c>
      <c r="C268" s="130">
        <v>0</v>
      </c>
      <c r="D268" s="130">
        <v>0</v>
      </c>
      <c r="E268" s="130">
        <v>0</v>
      </c>
      <c r="F268" s="130">
        <v>0</v>
      </c>
      <c r="G268" s="79">
        <f t="shared" si="71"/>
        <v>0</v>
      </c>
      <c r="H268" s="119" t="str">
        <f t="shared" si="72"/>
        <v/>
      </c>
      <c r="I268" s="119" t="str">
        <f t="shared" si="73"/>
        <v/>
      </c>
      <c r="J268" s="54"/>
    </row>
    <row r="269" spans="1:10" s="34" customFormat="1" ht="18.75" x14ac:dyDescent="0.3">
      <c r="A269" s="83"/>
      <c r="B269" s="46" t="s">
        <v>193</v>
      </c>
      <c r="C269" s="130">
        <v>0</v>
      </c>
      <c r="D269" s="130">
        <v>0</v>
      </c>
      <c r="E269" s="130">
        <v>0</v>
      </c>
      <c r="F269" s="130">
        <v>0</v>
      </c>
      <c r="G269" s="79">
        <f t="shared" si="71"/>
        <v>0</v>
      </c>
      <c r="H269" s="119" t="str">
        <f t="shared" si="72"/>
        <v/>
      </c>
      <c r="I269" s="119" t="str">
        <f t="shared" si="73"/>
        <v/>
      </c>
      <c r="J269" s="54"/>
    </row>
    <row r="270" spans="1:10" s="34" customFormat="1" ht="18.75" x14ac:dyDescent="0.3">
      <c r="A270" s="83"/>
      <c r="B270" s="46" t="s">
        <v>153</v>
      </c>
      <c r="C270" s="130">
        <v>0</v>
      </c>
      <c r="D270" s="130">
        <v>0</v>
      </c>
      <c r="E270" s="130">
        <v>0</v>
      </c>
      <c r="F270" s="130">
        <v>0</v>
      </c>
      <c r="G270" s="79">
        <f t="shared" si="71"/>
        <v>0</v>
      </c>
      <c r="H270" s="119" t="str">
        <f t="shared" si="72"/>
        <v/>
      </c>
      <c r="I270" s="119" t="str">
        <f t="shared" si="73"/>
        <v/>
      </c>
      <c r="J270" s="54"/>
    </row>
    <row r="271" spans="1:10" s="34" customFormat="1" ht="18.75" x14ac:dyDescent="0.3">
      <c r="A271" s="83"/>
      <c r="B271" s="46" t="s">
        <v>154</v>
      </c>
      <c r="C271" s="130">
        <v>0</v>
      </c>
      <c r="D271" s="130">
        <v>0</v>
      </c>
      <c r="E271" s="130">
        <v>0</v>
      </c>
      <c r="F271" s="130">
        <v>0</v>
      </c>
      <c r="G271" s="79">
        <f t="shared" si="71"/>
        <v>0</v>
      </c>
      <c r="H271" s="119" t="str">
        <f t="shared" si="72"/>
        <v/>
      </c>
      <c r="I271" s="119" t="str">
        <f t="shared" si="73"/>
        <v/>
      </c>
      <c r="J271" s="54"/>
    </row>
    <row r="272" spans="1:10" s="34" customFormat="1" ht="18.75" x14ac:dyDescent="0.3">
      <c r="A272" s="83"/>
      <c r="B272" s="46" t="s">
        <v>156</v>
      </c>
      <c r="C272" s="130">
        <v>0</v>
      </c>
      <c r="D272" s="130">
        <v>0</v>
      </c>
      <c r="E272" s="130">
        <v>0</v>
      </c>
      <c r="F272" s="130">
        <v>0</v>
      </c>
      <c r="G272" s="79">
        <f t="shared" si="71"/>
        <v>0</v>
      </c>
      <c r="H272" s="119" t="str">
        <f t="shared" si="72"/>
        <v/>
      </c>
      <c r="I272" s="119" t="str">
        <f t="shared" si="73"/>
        <v/>
      </c>
      <c r="J272" s="54"/>
    </row>
    <row r="273" spans="1:10" s="34" customFormat="1" ht="18.75" x14ac:dyDescent="0.3">
      <c r="A273" s="83"/>
      <c r="B273" s="46" t="s">
        <v>99</v>
      </c>
      <c r="C273" s="130">
        <v>0</v>
      </c>
      <c r="D273" s="130">
        <v>0</v>
      </c>
      <c r="E273" s="130">
        <v>0</v>
      </c>
      <c r="F273" s="130">
        <v>0</v>
      </c>
      <c r="G273" s="79">
        <f t="shared" si="71"/>
        <v>0</v>
      </c>
      <c r="H273" s="119" t="str">
        <f t="shared" si="72"/>
        <v/>
      </c>
      <c r="I273" s="119" t="str">
        <f>IF(OR(C273=0),"",IFERROR(MIN(1,D273/G273),""))</f>
        <v/>
      </c>
      <c r="J273" s="54"/>
    </row>
    <row r="274" spans="1:10" s="34" customFormat="1" ht="18.75" x14ac:dyDescent="0.3">
      <c r="A274" s="83"/>
      <c r="B274" s="46" t="s">
        <v>97</v>
      </c>
      <c r="C274" s="130">
        <v>0</v>
      </c>
      <c r="D274" s="130">
        <v>0</v>
      </c>
      <c r="E274" s="130">
        <v>0</v>
      </c>
      <c r="F274" s="130">
        <v>0</v>
      </c>
      <c r="G274" s="79">
        <f t="shared" si="71"/>
        <v>0</v>
      </c>
      <c r="H274" s="119" t="str">
        <f t="shared" si="72"/>
        <v/>
      </c>
      <c r="I274" s="119" t="str">
        <f t="shared" ref="I274:I285" si="74">IF(OR(C274=0),"",IFERROR(MIN(1,D274/G274),""))</f>
        <v/>
      </c>
      <c r="J274" s="54"/>
    </row>
    <row r="275" spans="1:10" s="34" customFormat="1" ht="18.75" x14ac:dyDescent="0.3">
      <c r="A275" s="83"/>
      <c r="B275" s="41" t="s">
        <v>199</v>
      </c>
      <c r="C275" s="131"/>
      <c r="D275" s="131"/>
      <c r="E275" s="131"/>
      <c r="F275" s="131"/>
      <c r="G275" s="79" t="str">
        <f t="shared" si="71"/>
        <v xml:space="preserve"> </v>
      </c>
      <c r="H275" s="119" t="str">
        <f t="shared" si="72"/>
        <v/>
      </c>
      <c r="I275" s="119" t="str">
        <f t="shared" si="74"/>
        <v/>
      </c>
      <c r="J275" s="54"/>
    </row>
    <row r="276" spans="1:10" s="34" customFormat="1" ht="18.75" x14ac:dyDescent="0.3">
      <c r="A276" s="83"/>
      <c r="B276" s="62" t="s">
        <v>257</v>
      </c>
      <c r="C276" s="130">
        <v>35</v>
      </c>
      <c r="D276" s="130">
        <v>2</v>
      </c>
      <c r="E276" s="130">
        <v>0</v>
      </c>
      <c r="F276" s="130">
        <v>0</v>
      </c>
      <c r="G276" s="79">
        <f t="shared" si="71"/>
        <v>2</v>
      </c>
      <c r="H276" s="119">
        <f t="shared" si="72"/>
        <v>5.7142857142857141E-2</v>
      </c>
      <c r="I276" s="119">
        <f t="shared" si="74"/>
        <v>1</v>
      </c>
      <c r="J276" s="54"/>
    </row>
    <row r="277" spans="1:10" s="34" customFormat="1" ht="18.75" x14ac:dyDescent="0.3">
      <c r="A277" s="83"/>
      <c r="B277" s="62" t="s">
        <v>258</v>
      </c>
      <c r="C277" s="130">
        <v>1</v>
      </c>
      <c r="D277" s="130">
        <v>0</v>
      </c>
      <c r="E277" s="130">
        <v>0</v>
      </c>
      <c r="F277" s="130">
        <v>0</v>
      </c>
      <c r="G277" s="79">
        <f t="shared" si="71"/>
        <v>0</v>
      </c>
      <c r="H277" s="119">
        <f t="shared" si="72"/>
        <v>0</v>
      </c>
      <c r="I277" s="119" t="str">
        <f t="shared" si="74"/>
        <v/>
      </c>
      <c r="J277" s="54"/>
    </row>
    <row r="278" spans="1:10" s="34" customFormat="1" ht="18.75" x14ac:dyDescent="0.3">
      <c r="A278" s="83"/>
      <c r="B278" s="62" t="s">
        <v>259</v>
      </c>
      <c r="C278" s="130">
        <v>1</v>
      </c>
      <c r="D278" s="130">
        <v>2</v>
      </c>
      <c r="E278" s="130">
        <v>0</v>
      </c>
      <c r="F278" s="130">
        <v>0</v>
      </c>
      <c r="G278" s="79">
        <f t="shared" si="71"/>
        <v>2</v>
      </c>
      <c r="H278" s="119">
        <f t="shared" si="72"/>
        <v>1</v>
      </c>
      <c r="I278" s="119">
        <f t="shared" si="74"/>
        <v>1</v>
      </c>
      <c r="J278" s="54"/>
    </row>
    <row r="279" spans="1:10" s="34" customFormat="1" ht="18.75" x14ac:dyDescent="0.3">
      <c r="A279" s="83"/>
      <c r="B279" s="62" t="s">
        <v>260</v>
      </c>
      <c r="C279" s="130">
        <v>1</v>
      </c>
      <c r="D279" s="130">
        <v>2</v>
      </c>
      <c r="E279" s="130">
        <v>0</v>
      </c>
      <c r="F279" s="130">
        <v>0</v>
      </c>
      <c r="G279" s="79">
        <f t="shared" si="71"/>
        <v>2</v>
      </c>
      <c r="H279" s="119">
        <f t="shared" si="72"/>
        <v>1</v>
      </c>
      <c r="I279" s="119">
        <f t="shared" si="74"/>
        <v>1</v>
      </c>
      <c r="J279" s="54"/>
    </row>
    <row r="280" spans="1:10" s="34" customFormat="1" ht="18.75" x14ac:dyDescent="0.3">
      <c r="A280" s="83"/>
      <c r="B280" s="62" t="s">
        <v>261</v>
      </c>
      <c r="C280" s="130">
        <v>4</v>
      </c>
      <c r="D280" s="130">
        <v>1</v>
      </c>
      <c r="E280" s="130">
        <v>0</v>
      </c>
      <c r="F280" s="130">
        <v>0</v>
      </c>
      <c r="G280" s="79">
        <f t="shared" si="71"/>
        <v>1</v>
      </c>
      <c r="H280" s="119">
        <f t="shared" si="72"/>
        <v>0.25</v>
      </c>
      <c r="I280" s="119">
        <f t="shared" si="74"/>
        <v>1</v>
      </c>
      <c r="J280" s="54"/>
    </row>
    <row r="281" spans="1:10" s="34" customFormat="1" ht="18.75" x14ac:dyDescent="0.3">
      <c r="A281" s="83"/>
      <c r="B281" s="62" t="s">
        <v>262</v>
      </c>
      <c r="C281" s="130">
        <v>20</v>
      </c>
      <c r="D281" s="130">
        <v>18</v>
      </c>
      <c r="E281" s="130">
        <v>0</v>
      </c>
      <c r="F281" s="130">
        <v>1</v>
      </c>
      <c r="G281" s="79">
        <f t="shared" si="71"/>
        <v>19</v>
      </c>
      <c r="H281" s="119">
        <f t="shared" si="72"/>
        <v>0.95</v>
      </c>
      <c r="I281" s="119">
        <f t="shared" si="74"/>
        <v>0.94736842105263153</v>
      </c>
      <c r="J281" s="54"/>
    </row>
    <row r="282" spans="1:10" s="34" customFormat="1" ht="18.75" x14ac:dyDescent="0.3">
      <c r="A282" s="83"/>
      <c r="B282" s="62" t="s">
        <v>263</v>
      </c>
      <c r="C282" s="130">
        <v>7</v>
      </c>
      <c r="D282" s="130">
        <v>10</v>
      </c>
      <c r="E282" s="130">
        <v>0</v>
      </c>
      <c r="F282" s="130">
        <v>0</v>
      </c>
      <c r="G282" s="79">
        <f t="shared" si="71"/>
        <v>10</v>
      </c>
      <c r="H282" s="119">
        <f t="shared" si="72"/>
        <v>1</v>
      </c>
      <c r="I282" s="119">
        <f t="shared" si="74"/>
        <v>1</v>
      </c>
      <c r="J282" s="54"/>
    </row>
    <row r="283" spans="1:10" s="34" customFormat="1" ht="18.75" x14ac:dyDescent="0.3">
      <c r="A283" s="83"/>
      <c r="B283" s="62" t="s">
        <v>264</v>
      </c>
      <c r="C283" s="130">
        <v>7</v>
      </c>
      <c r="D283" s="130">
        <v>0</v>
      </c>
      <c r="E283" s="130">
        <v>0</v>
      </c>
      <c r="F283" s="130">
        <v>0</v>
      </c>
      <c r="G283" s="79">
        <f t="shared" si="71"/>
        <v>0</v>
      </c>
      <c r="H283" s="119">
        <f t="shared" si="72"/>
        <v>0</v>
      </c>
      <c r="I283" s="119" t="str">
        <f t="shared" si="74"/>
        <v/>
      </c>
      <c r="J283" s="54"/>
    </row>
    <row r="284" spans="1:10" s="34" customFormat="1" ht="18.75" x14ac:dyDescent="0.3">
      <c r="A284" s="83"/>
      <c r="B284" s="62" t="s">
        <v>265</v>
      </c>
      <c r="C284" s="130">
        <v>2</v>
      </c>
      <c r="D284" s="130">
        <v>2</v>
      </c>
      <c r="E284" s="130">
        <v>0</v>
      </c>
      <c r="F284" s="130">
        <v>0</v>
      </c>
      <c r="G284" s="79">
        <f t="shared" si="71"/>
        <v>2</v>
      </c>
      <c r="H284" s="119">
        <f t="shared" si="72"/>
        <v>1</v>
      </c>
      <c r="I284" s="119">
        <f t="shared" si="74"/>
        <v>1</v>
      </c>
      <c r="J284" s="54"/>
    </row>
    <row r="285" spans="1:10" s="34" customFormat="1" ht="18.75" x14ac:dyDescent="0.3">
      <c r="A285" s="83"/>
      <c r="B285" s="62"/>
      <c r="C285" s="130"/>
      <c r="D285" s="130"/>
      <c r="E285" s="130"/>
      <c r="F285" s="130"/>
      <c r="G285" s="79" t="str">
        <f t="shared" si="71"/>
        <v xml:space="preserve"> </v>
      </c>
      <c r="H285" s="119" t="str">
        <f t="shared" si="72"/>
        <v/>
      </c>
      <c r="I285" s="119" t="str">
        <f t="shared" si="74"/>
        <v/>
      </c>
      <c r="J285" s="54"/>
    </row>
    <row r="286" spans="1:10" s="34" customFormat="1" ht="18.75" x14ac:dyDescent="0.3">
      <c r="A286" s="83"/>
      <c r="B286" s="149" t="s">
        <v>237</v>
      </c>
      <c r="C286" s="150"/>
      <c r="D286" s="150"/>
      <c r="E286" s="150"/>
      <c r="F286" s="150"/>
      <c r="G286" s="151"/>
      <c r="H286" s="123">
        <f>IF(COUNT(H198:H285)&gt;0,AVERAGE(H198:H285),"")</f>
        <v>0.74709761521355711</v>
      </c>
      <c r="I286" s="123">
        <f>IF(COUNT(I198:I285)&gt;0,AVERAGE(I198:I285),"")</f>
        <v>0.95975369762434248</v>
      </c>
      <c r="J286" s="54"/>
    </row>
    <row r="287" spans="1:10" s="34" customFormat="1" ht="18.75" x14ac:dyDescent="0.3">
      <c r="A287" s="83"/>
      <c r="B287" s="96" t="s">
        <v>254</v>
      </c>
      <c r="C287" s="124">
        <f>SUM(C8,C23,C35,C49,C58,C70,C81,C89,C98,C135,C141,C152,C167,C190,C197)</f>
        <v>668</v>
      </c>
      <c r="D287" s="124">
        <f t="shared" ref="D287:G287" si="75">SUM(D8,D23,D35,D49,D58,D70,D81,D89,D98,D135,D141,D152,D167,D190,D197)</f>
        <v>652</v>
      </c>
      <c r="E287" s="124">
        <f t="shared" si="75"/>
        <v>15</v>
      </c>
      <c r="F287" s="124">
        <f t="shared" si="75"/>
        <v>13</v>
      </c>
      <c r="G287" s="124">
        <f t="shared" si="75"/>
        <v>316</v>
      </c>
      <c r="H287" s="123"/>
      <c r="I287" s="123"/>
      <c r="J287" s="54"/>
    </row>
    <row r="288" spans="1:10" s="34" customFormat="1" ht="23.25" x14ac:dyDescent="0.35">
      <c r="A288" s="84"/>
      <c r="B288" s="155" t="s">
        <v>244</v>
      </c>
      <c r="C288" s="156"/>
      <c r="D288" s="156"/>
      <c r="E288" s="156"/>
      <c r="F288" s="156"/>
      <c r="G288" s="157"/>
      <c r="H288" s="125">
        <f>IF(COUNT(H286,H196,H189,H166,H151,H140,H134,H97,H88,H80,H69,H57,H48,H34,H21)&gt;0,AVERAGE(H286,H196,H189,H166,H151,H140,H134,H97,H88,H80,H69,H57,H48,H34,H21),"")</f>
        <v>0.58625697460948945</v>
      </c>
      <c r="I288" s="125">
        <f>IF(COUNT(I286,I196,I189,I166,I151,I140,I134,I97,I88,I80,I69,I57,I48,I34,I21)&gt;0,AVERAGE(I286,I196,I189,I166,I151,I140,I134,I97,I88,I80,I69,I57,I48,I34,I21),"")</f>
        <v>0.97994487185934154</v>
      </c>
      <c r="J288" s="56"/>
    </row>
    <row r="289" spans="1:10" s="34" customFormat="1" x14ac:dyDescent="0.25">
      <c r="A289" s="33"/>
      <c r="B289" s="33"/>
      <c r="C289" s="88"/>
      <c r="D289" s="89"/>
      <c r="E289" s="90"/>
      <c r="F289" s="90"/>
      <c r="G289" s="75"/>
      <c r="J289" s="54"/>
    </row>
    <row r="290" spans="1:10" s="34" customFormat="1" x14ac:dyDescent="0.25">
      <c r="A290" s="33"/>
      <c r="B290" s="33"/>
      <c r="C290" s="88"/>
      <c r="D290" s="89"/>
      <c r="E290" s="90"/>
      <c r="F290" s="90"/>
      <c r="G290" s="75"/>
      <c r="J290" s="54"/>
    </row>
    <row r="291" spans="1:10" s="34" customFormat="1" x14ac:dyDescent="0.25">
      <c r="A291" s="33"/>
      <c r="B291" s="33"/>
      <c r="C291" s="88"/>
      <c r="D291" s="89"/>
      <c r="E291" s="90"/>
      <c r="F291" s="90"/>
      <c r="G291" s="75"/>
      <c r="J291" s="54"/>
    </row>
    <row r="292" spans="1:10" s="34" customFormat="1" ht="23.25" x14ac:dyDescent="0.25">
      <c r="A292" s="33"/>
      <c r="B292" s="158" t="s">
        <v>250</v>
      </c>
      <c r="C292" s="158"/>
      <c r="D292" s="159" t="s">
        <v>249</v>
      </c>
      <c r="E292" s="160"/>
      <c r="F292" s="161"/>
      <c r="G292" s="162" t="s">
        <v>248</v>
      </c>
      <c r="H292" s="163"/>
      <c r="I292" s="164"/>
      <c r="J292" s="54"/>
    </row>
    <row r="293" spans="1:10" s="34" customFormat="1" ht="23.25" x14ac:dyDescent="0.35">
      <c r="A293" s="33"/>
      <c r="B293" s="166" t="s">
        <v>233</v>
      </c>
      <c r="C293" s="166"/>
      <c r="D293" s="167" t="str">
        <f>IF(F293="","R4", IF(F293&gt;=75%,IF(F293&gt;=85%,"R1","R2"),IF(F293&lt;=50%,"R4","R3")))</f>
        <v>R3</v>
      </c>
      <c r="E293" s="167"/>
      <c r="F293" s="126">
        <f>H288</f>
        <v>0.58625697460948945</v>
      </c>
      <c r="G293" s="167" t="str">
        <f>IF(I293="","R4", IF(I293&gt;=75%,IF(I293&gt;=85%,"R1","R2"),IF(I293&lt;=50%,"R4","R3")))</f>
        <v>R1</v>
      </c>
      <c r="H293" s="167"/>
      <c r="I293" s="127">
        <f>I288</f>
        <v>0.97994487185934154</v>
      </c>
      <c r="J293" s="54"/>
    </row>
    <row r="294" spans="1:10" s="34" customFormat="1" ht="20.25" x14ac:dyDescent="0.3">
      <c r="A294" s="33"/>
      <c r="B294" s="166"/>
      <c r="C294" s="166"/>
      <c r="D294" s="168" t="str">
        <f>IF(F293="","Not Mission Capable",IF(F293&gt;=75%,IF(F293&gt;=85%,"Fully Mission Capable","Mission Capable"),IF(F293&lt;=50%,"Not Mission Capable","Partially Mission Capable")))</f>
        <v>Partially Mission Capable</v>
      </c>
      <c r="E294" s="168"/>
      <c r="F294" s="168"/>
      <c r="G294" s="168" t="str">
        <f>IF(I293="","Not Mission Capable",IF(I293&gt;=75%,IF(I293&gt;=85%,"Fully Mission Capable","Mission Capable"),IF(I293&lt;=50%,"Not Mission Capable","Partially Mission Capable")))</f>
        <v>Fully Mission Capable</v>
      </c>
      <c r="H294" s="168"/>
      <c r="I294" s="168"/>
      <c r="J294" s="54"/>
    </row>
    <row r="295" spans="1:10" s="34" customFormat="1" x14ac:dyDescent="0.25">
      <c r="A295" s="33"/>
      <c r="B295" s="33"/>
      <c r="C295" s="88"/>
      <c r="D295" s="89"/>
      <c r="E295" s="90"/>
      <c r="F295" s="90"/>
      <c r="G295" s="75"/>
      <c r="J295" s="54"/>
    </row>
    <row r="296" spans="1:10" s="34" customFormat="1" x14ac:dyDescent="0.25">
      <c r="A296" s="33"/>
      <c r="B296" s="33"/>
      <c r="C296" s="88"/>
      <c r="D296" s="89"/>
      <c r="E296" s="90"/>
      <c r="F296" s="90"/>
      <c r="G296" s="75"/>
      <c r="J296" s="54"/>
    </row>
    <row r="297" spans="1:10" s="34" customFormat="1" x14ac:dyDescent="0.25">
      <c r="A297" s="33"/>
      <c r="B297" s="33"/>
      <c r="C297" s="88"/>
      <c r="D297" s="89"/>
      <c r="E297" s="90"/>
      <c r="F297" s="90"/>
      <c r="G297" s="75"/>
      <c r="J297" s="54"/>
    </row>
    <row r="298" spans="1:10" s="34" customFormat="1" x14ac:dyDescent="0.25">
      <c r="A298" s="33"/>
      <c r="B298" s="49" t="s">
        <v>234</v>
      </c>
      <c r="C298" s="71"/>
      <c r="D298" s="91"/>
      <c r="E298" s="91"/>
      <c r="F298" s="76" t="s">
        <v>235</v>
      </c>
      <c r="G298" s="80"/>
      <c r="H298" s="49"/>
      <c r="J298" s="54"/>
    </row>
    <row r="299" spans="1:10" s="34" customFormat="1" x14ac:dyDescent="0.25">
      <c r="A299" s="33"/>
      <c r="B299" s="49"/>
      <c r="C299" s="71"/>
      <c r="D299" s="71"/>
      <c r="E299" s="92"/>
      <c r="F299" s="92"/>
      <c r="G299" s="70"/>
      <c r="H299" s="49"/>
      <c r="J299" s="54"/>
    </row>
    <row r="300" spans="1:10" s="34" customFormat="1" x14ac:dyDescent="0.25">
      <c r="A300" s="33"/>
      <c r="B300" s="49"/>
      <c r="C300" s="71"/>
      <c r="D300" s="71"/>
      <c r="E300" s="92"/>
      <c r="F300" s="92"/>
      <c r="G300" s="70"/>
      <c r="H300" s="49"/>
      <c r="J300" s="54"/>
    </row>
    <row r="301" spans="1:10" s="34" customFormat="1" x14ac:dyDescent="0.25">
      <c r="A301" s="33"/>
      <c r="B301" s="49" t="s">
        <v>236</v>
      </c>
      <c r="C301" s="71"/>
      <c r="D301" s="71"/>
      <c r="E301" s="92"/>
      <c r="F301" s="91"/>
      <c r="G301" s="165" t="s">
        <v>236</v>
      </c>
      <c r="H301" s="165"/>
      <c r="I301" s="165"/>
      <c r="J301" s="165"/>
    </row>
    <row r="302" spans="1:10" s="34" customFormat="1" x14ac:dyDescent="0.25">
      <c r="A302" s="33"/>
      <c r="B302" s="49" t="s">
        <v>236</v>
      </c>
      <c r="C302" s="71"/>
      <c r="D302" s="71"/>
      <c r="E302" s="92"/>
      <c r="F302" s="91"/>
      <c r="G302" s="165" t="s">
        <v>236</v>
      </c>
      <c r="H302" s="165"/>
      <c r="I302" s="165"/>
      <c r="J302" s="165"/>
    </row>
    <row r="303" spans="1:10" s="34" customFormat="1" x14ac:dyDescent="0.25">
      <c r="A303" s="33"/>
      <c r="B303" s="49" t="s">
        <v>236</v>
      </c>
      <c r="C303" s="71"/>
      <c r="D303" s="71"/>
      <c r="E303" s="92"/>
      <c r="F303" s="91"/>
      <c r="G303" s="165" t="s">
        <v>236</v>
      </c>
      <c r="H303" s="165"/>
      <c r="I303" s="165"/>
      <c r="J303" s="165"/>
    </row>
    <row r="304" spans="1:10" s="34" customFormat="1" x14ac:dyDescent="0.25">
      <c r="A304" s="33"/>
      <c r="B304" s="33"/>
      <c r="C304" s="88"/>
      <c r="D304" s="89"/>
      <c r="E304" s="90"/>
      <c r="F304" s="90"/>
      <c r="G304" s="75"/>
      <c r="J304" s="54"/>
    </row>
    <row r="305" spans="1:10" s="34" customFormat="1" x14ac:dyDescent="0.25">
      <c r="A305" s="33"/>
      <c r="B305" s="33"/>
      <c r="C305" s="88"/>
      <c r="D305" s="89"/>
      <c r="E305" s="90"/>
      <c r="F305" s="90"/>
      <c r="G305" s="75"/>
      <c r="J305" s="54"/>
    </row>
    <row r="306" spans="1:10" s="34" customFormat="1" x14ac:dyDescent="0.25">
      <c r="A306" s="33"/>
      <c r="B306" s="33"/>
      <c r="C306" s="88"/>
      <c r="D306" s="89"/>
      <c r="E306" s="90"/>
      <c r="F306" s="90"/>
      <c r="G306" s="75"/>
      <c r="J306" s="54"/>
    </row>
    <row r="307" spans="1:10" s="34" customFormat="1" x14ac:dyDescent="0.25">
      <c r="A307" s="33"/>
      <c r="B307" s="33"/>
      <c r="C307" s="88"/>
      <c r="D307" s="89"/>
      <c r="E307" s="90"/>
      <c r="F307" s="90"/>
      <c r="G307" s="75"/>
      <c r="J307" s="54"/>
    </row>
    <row r="308" spans="1:10" s="34" customFormat="1" x14ac:dyDescent="0.25">
      <c r="A308" s="33"/>
      <c r="B308" s="33"/>
      <c r="C308" s="88"/>
      <c r="D308" s="89"/>
      <c r="E308" s="90"/>
      <c r="F308" s="90"/>
      <c r="G308" s="75"/>
      <c r="J308" s="54"/>
    </row>
    <row r="309" spans="1:10" s="34" customFormat="1" x14ac:dyDescent="0.25">
      <c r="A309" s="33"/>
      <c r="B309" s="33"/>
      <c r="C309" s="88"/>
      <c r="D309" s="89"/>
      <c r="E309" s="90"/>
      <c r="F309" s="90"/>
      <c r="G309" s="75"/>
      <c r="J309" s="54"/>
    </row>
    <row r="310" spans="1:10" s="34" customFormat="1" x14ac:dyDescent="0.25">
      <c r="A310" s="33"/>
      <c r="B310" s="33"/>
      <c r="C310" s="88"/>
      <c r="D310" s="89"/>
      <c r="E310" s="90"/>
      <c r="F310" s="90"/>
      <c r="G310" s="75"/>
      <c r="J310" s="54"/>
    </row>
    <row r="311" spans="1:10" s="34" customFormat="1" x14ac:dyDescent="0.25">
      <c r="A311" s="33"/>
      <c r="B311" s="33"/>
      <c r="C311" s="88"/>
      <c r="D311" s="89"/>
      <c r="E311" s="90"/>
      <c r="F311" s="90"/>
      <c r="G311" s="75"/>
      <c r="J311" s="54"/>
    </row>
    <row r="312" spans="1:10" s="34" customFormat="1" x14ac:dyDescent="0.25">
      <c r="A312" s="33"/>
      <c r="B312" s="33"/>
      <c r="C312" s="88"/>
      <c r="D312" s="89"/>
      <c r="E312" s="90"/>
      <c r="F312" s="90"/>
      <c r="G312" s="75"/>
      <c r="J312" s="54"/>
    </row>
    <row r="313" spans="1:10" s="34" customFormat="1" x14ac:dyDescent="0.25">
      <c r="A313" s="33"/>
      <c r="B313" s="33"/>
      <c r="C313" s="88"/>
      <c r="D313" s="89"/>
      <c r="E313" s="90"/>
      <c r="F313" s="90"/>
      <c r="G313" s="75"/>
      <c r="J313" s="54"/>
    </row>
    <row r="314" spans="1:10" s="34" customFormat="1" x14ac:dyDescent="0.25">
      <c r="A314" s="33"/>
      <c r="B314" s="33"/>
      <c r="C314" s="88"/>
      <c r="D314" s="89"/>
      <c r="E314" s="90"/>
      <c r="F314" s="90"/>
      <c r="G314" s="75"/>
      <c r="J314" s="54"/>
    </row>
    <row r="315" spans="1:10" s="34" customFormat="1" x14ac:dyDescent="0.25">
      <c r="A315" s="33"/>
      <c r="B315" s="33"/>
      <c r="C315" s="88"/>
      <c r="D315" s="89"/>
      <c r="E315" s="90"/>
      <c r="F315" s="90"/>
      <c r="G315" s="75"/>
      <c r="J315" s="54"/>
    </row>
    <row r="316" spans="1:10" s="34" customFormat="1" x14ac:dyDescent="0.25">
      <c r="A316" s="33"/>
      <c r="B316" s="33"/>
      <c r="C316" s="88"/>
      <c r="D316" s="89"/>
      <c r="E316" s="90"/>
      <c r="F316" s="90"/>
      <c r="G316" s="75"/>
      <c r="J316" s="54"/>
    </row>
    <row r="317" spans="1:10" s="34" customFormat="1" x14ac:dyDescent="0.25">
      <c r="A317" s="33"/>
      <c r="B317" s="33"/>
      <c r="C317" s="88"/>
      <c r="D317" s="89"/>
      <c r="E317" s="90"/>
      <c r="F317" s="90"/>
      <c r="G317" s="75"/>
      <c r="J317" s="54"/>
    </row>
    <row r="318" spans="1:10" s="34" customFormat="1" x14ac:dyDescent="0.25">
      <c r="A318" s="33"/>
      <c r="B318" s="33"/>
      <c r="C318" s="88"/>
      <c r="D318" s="89"/>
      <c r="E318" s="90"/>
      <c r="F318" s="90"/>
      <c r="G318" s="75"/>
      <c r="J318" s="54"/>
    </row>
    <row r="319" spans="1:10" s="34" customFormat="1" x14ac:dyDescent="0.25">
      <c r="A319" s="33"/>
      <c r="B319" s="33"/>
      <c r="C319" s="88"/>
      <c r="D319" s="89"/>
      <c r="E319" s="90"/>
      <c r="F319" s="90"/>
      <c r="G319" s="75"/>
      <c r="J319" s="54"/>
    </row>
    <row r="320" spans="1:10" s="34" customFormat="1" x14ac:dyDescent="0.25">
      <c r="A320" s="33"/>
      <c r="B320" s="33"/>
      <c r="C320" s="88"/>
      <c r="D320" s="89"/>
      <c r="E320" s="90"/>
      <c r="F320" s="90"/>
      <c r="G320" s="75"/>
      <c r="J320" s="54"/>
    </row>
    <row r="321" spans="1:10" s="34" customFormat="1" x14ac:dyDescent="0.25">
      <c r="A321" s="33"/>
      <c r="B321" s="33"/>
      <c r="C321" s="88"/>
      <c r="D321" s="89"/>
      <c r="E321" s="90"/>
      <c r="F321" s="90"/>
      <c r="G321" s="75"/>
      <c r="J321" s="54"/>
    </row>
    <row r="322" spans="1:10" s="34" customFormat="1" x14ac:dyDescent="0.25">
      <c r="A322" s="33"/>
      <c r="B322" s="33"/>
      <c r="C322" s="88"/>
      <c r="D322" s="89"/>
      <c r="E322" s="90"/>
      <c r="F322" s="90"/>
      <c r="G322" s="75"/>
      <c r="J322" s="54"/>
    </row>
    <row r="323" spans="1:10" s="34" customFormat="1" x14ac:dyDescent="0.25">
      <c r="A323" s="33"/>
      <c r="B323" s="33"/>
      <c r="C323" s="88"/>
      <c r="D323" s="89"/>
      <c r="E323" s="90"/>
      <c r="F323" s="90"/>
      <c r="G323" s="75"/>
      <c r="J323" s="54"/>
    </row>
    <row r="324" spans="1:10" s="34" customFormat="1" x14ac:dyDescent="0.25">
      <c r="A324" s="33"/>
      <c r="B324" s="33"/>
      <c r="C324" s="88"/>
      <c r="D324" s="89"/>
      <c r="E324" s="90"/>
      <c r="F324" s="90"/>
      <c r="G324" s="75"/>
      <c r="J324" s="54"/>
    </row>
    <row r="325" spans="1:10" s="34" customFormat="1" x14ac:dyDescent="0.25">
      <c r="A325" s="33"/>
      <c r="B325" s="33"/>
      <c r="C325" s="88"/>
      <c r="D325" s="89"/>
      <c r="E325" s="90"/>
      <c r="F325" s="90"/>
      <c r="G325" s="75"/>
      <c r="J325" s="54"/>
    </row>
    <row r="326" spans="1:10" s="34" customFormat="1" x14ac:dyDescent="0.25">
      <c r="A326" s="33"/>
      <c r="B326" s="33"/>
      <c r="C326" s="88"/>
      <c r="D326" s="89"/>
      <c r="E326" s="90"/>
      <c r="F326" s="90"/>
      <c r="G326" s="75"/>
      <c r="J326" s="54"/>
    </row>
    <row r="327" spans="1:10" s="34" customFormat="1" x14ac:dyDescent="0.25">
      <c r="A327" s="33"/>
      <c r="B327" s="33"/>
      <c r="C327" s="88"/>
      <c r="D327" s="89"/>
      <c r="E327" s="90"/>
      <c r="F327" s="90"/>
      <c r="G327" s="75"/>
      <c r="J327" s="54"/>
    </row>
    <row r="328" spans="1:10" s="34" customFormat="1" x14ac:dyDescent="0.25">
      <c r="A328" s="33"/>
      <c r="B328" s="33"/>
      <c r="C328" s="88"/>
      <c r="D328" s="89"/>
      <c r="E328" s="90"/>
      <c r="F328" s="90"/>
      <c r="G328" s="75"/>
      <c r="J328" s="54"/>
    </row>
    <row r="329" spans="1:10" s="34" customFormat="1" x14ac:dyDescent="0.25">
      <c r="A329" s="33"/>
      <c r="B329" s="33"/>
      <c r="C329" s="88"/>
      <c r="D329" s="89"/>
      <c r="E329" s="90"/>
      <c r="F329" s="90"/>
      <c r="G329" s="75"/>
      <c r="J329" s="54"/>
    </row>
    <row r="330" spans="1:10" s="34" customFormat="1" x14ac:dyDescent="0.25">
      <c r="A330" s="33"/>
      <c r="B330" s="33"/>
      <c r="C330" s="88"/>
      <c r="D330" s="89"/>
      <c r="E330" s="90"/>
      <c r="F330" s="90"/>
      <c r="G330" s="75"/>
      <c r="J330" s="54"/>
    </row>
    <row r="331" spans="1:10" s="34" customFormat="1" x14ac:dyDescent="0.25">
      <c r="A331" s="33"/>
      <c r="B331" s="33"/>
      <c r="C331" s="88"/>
      <c r="D331" s="89"/>
      <c r="E331" s="90"/>
      <c r="F331" s="90"/>
      <c r="G331" s="75"/>
      <c r="J331" s="54"/>
    </row>
    <row r="332" spans="1:10" s="34" customFormat="1" x14ac:dyDescent="0.25">
      <c r="A332" s="33"/>
      <c r="B332" s="33"/>
      <c r="C332" s="88"/>
      <c r="D332" s="89"/>
      <c r="E332" s="90"/>
      <c r="F332" s="90"/>
      <c r="G332" s="75"/>
      <c r="J332" s="54"/>
    </row>
    <row r="333" spans="1:10" s="34" customFormat="1" x14ac:dyDescent="0.25">
      <c r="A333" s="33"/>
      <c r="B333" s="33"/>
      <c r="C333" s="88"/>
      <c r="D333" s="89"/>
      <c r="E333" s="90"/>
      <c r="F333" s="90"/>
      <c r="G333" s="75"/>
      <c r="J333" s="54"/>
    </row>
    <row r="334" spans="1:10" s="34" customFormat="1" x14ac:dyDescent="0.25">
      <c r="A334" s="33"/>
      <c r="B334" s="33"/>
      <c r="C334" s="88"/>
      <c r="D334" s="89"/>
      <c r="E334" s="90"/>
      <c r="F334" s="90"/>
      <c r="G334" s="75"/>
      <c r="J334" s="54"/>
    </row>
    <row r="335" spans="1:10" s="34" customFormat="1" x14ac:dyDescent="0.25">
      <c r="A335" s="33"/>
      <c r="B335" s="33"/>
      <c r="C335" s="88"/>
      <c r="D335" s="89"/>
      <c r="E335" s="90"/>
      <c r="F335" s="90"/>
      <c r="G335" s="75"/>
      <c r="J335" s="54"/>
    </row>
    <row r="336" spans="1:10" s="34" customFormat="1" x14ac:dyDescent="0.25">
      <c r="A336" s="33"/>
      <c r="B336" s="33"/>
      <c r="C336" s="88"/>
      <c r="D336" s="89"/>
      <c r="E336" s="90"/>
      <c r="F336" s="90"/>
      <c r="G336" s="75"/>
      <c r="J336" s="54"/>
    </row>
    <row r="337" spans="1:10" s="34" customFormat="1" x14ac:dyDescent="0.25">
      <c r="A337" s="33"/>
      <c r="B337" s="33"/>
      <c r="C337" s="88"/>
      <c r="D337" s="89"/>
      <c r="E337" s="90"/>
      <c r="F337" s="90"/>
      <c r="G337" s="75"/>
      <c r="J337" s="54"/>
    </row>
    <row r="338" spans="1:10" s="34" customFormat="1" x14ac:dyDescent="0.25">
      <c r="A338" s="33"/>
      <c r="B338" s="33"/>
      <c r="C338" s="88"/>
      <c r="D338" s="89"/>
      <c r="E338" s="90"/>
      <c r="F338" s="90"/>
      <c r="G338" s="75"/>
      <c r="J338" s="54"/>
    </row>
    <row r="339" spans="1:10" s="34" customFormat="1" x14ac:dyDescent="0.25">
      <c r="A339" s="33"/>
      <c r="B339" s="33"/>
      <c r="C339" s="88"/>
      <c r="D339" s="89"/>
      <c r="E339" s="90"/>
      <c r="F339" s="90"/>
      <c r="G339" s="75"/>
      <c r="J339" s="54"/>
    </row>
    <row r="340" spans="1:10" s="34" customFormat="1" x14ac:dyDescent="0.25">
      <c r="A340" s="33"/>
      <c r="B340" s="33"/>
      <c r="C340" s="88"/>
      <c r="D340" s="89"/>
      <c r="E340" s="90"/>
      <c r="F340" s="90"/>
      <c r="G340" s="75"/>
      <c r="J340" s="54"/>
    </row>
    <row r="341" spans="1:10" s="34" customFormat="1" x14ac:dyDescent="0.25">
      <c r="A341" s="33"/>
      <c r="B341" s="33"/>
      <c r="C341" s="88"/>
      <c r="D341" s="89"/>
      <c r="E341" s="90"/>
      <c r="F341" s="90"/>
      <c r="G341" s="75"/>
      <c r="J341" s="54"/>
    </row>
    <row r="342" spans="1:10" s="34" customFormat="1" x14ac:dyDescent="0.25">
      <c r="A342" s="33"/>
      <c r="B342" s="33"/>
      <c r="C342" s="88"/>
      <c r="D342" s="89"/>
      <c r="E342" s="90"/>
      <c r="F342" s="90"/>
      <c r="G342" s="75"/>
      <c r="J342" s="54"/>
    </row>
    <row r="343" spans="1:10" s="34" customFormat="1" x14ac:dyDescent="0.25">
      <c r="A343" s="33"/>
      <c r="B343" s="33"/>
      <c r="C343" s="88"/>
      <c r="D343" s="89"/>
      <c r="E343" s="90"/>
      <c r="F343" s="90"/>
      <c r="G343" s="75"/>
      <c r="J343" s="54"/>
    </row>
    <row r="344" spans="1:10" s="34" customFormat="1" x14ac:dyDescent="0.25">
      <c r="A344" s="33"/>
      <c r="B344" s="33"/>
      <c r="C344" s="88"/>
      <c r="D344" s="89"/>
      <c r="E344" s="90"/>
      <c r="F344" s="90"/>
      <c r="G344" s="75"/>
      <c r="J344" s="54"/>
    </row>
    <row r="345" spans="1:10" s="34" customFormat="1" x14ac:dyDescent="0.25">
      <c r="A345" s="33"/>
      <c r="B345" s="33"/>
      <c r="C345" s="88"/>
      <c r="D345" s="89"/>
      <c r="E345" s="90"/>
      <c r="F345" s="90"/>
      <c r="G345" s="75"/>
      <c r="J345" s="54"/>
    </row>
    <row r="346" spans="1:10" s="34" customFormat="1" x14ac:dyDescent="0.25">
      <c r="A346" s="33"/>
      <c r="B346" s="33"/>
      <c r="C346" s="88"/>
      <c r="D346" s="89"/>
      <c r="E346" s="90"/>
      <c r="F346" s="90"/>
      <c r="G346" s="75"/>
      <c r="J346" s="54"/>
    </row>
    <row r="347" spans="1:10" s="34" customFormat="1" x14ac:dyDescent="0.25">
      <c r="A347" s="33"/>
      <c r="B347" s="33"/>
      <c r="C347" s="88"/>
      <c r="D347" s="89"/>
      <c r="E347" s="90"/>
      <c r="F347" s="90"/>
      <c r="G347" s="75"/>
      <c r="J347" s="54"/>
    </row>
    <row r="348" spans="1:10" s="34" customFormat="1" x14ac:dyDescent="0.25">
      <c r="A348" s="33"/>
      <c r="B348" s="33"/>
      <c r="C348" s="88"/>
      <c r="D348" s="89"/>
      <c r="E348" s="90"/>
      <c r="F348" s="90"/>
      <c r="G348" s="75"/>
      <c r="J348" s="54"/>
    </row>
    <row r="349" spans="1:10" s="34" customFormat="1" x14ac:dyDescent="0.25">
      <c r="A349" s="33"/>
      <c r="B349" s="33"/>
      <c r="C349" s="88"/>
      <c r="D349" s="89"/>
      <c r="E349" s="90"/>
      <c r="F349" s="90"/>
      <c r="G349" s="75"/>
      <c r="J349" s="54"/>
    </row>
    <row r="350" spans="1:10" s="34" customFormat="1" x14ac:dyDescent="0.25">
      <c r="A350" s="33"/>
      <c r="B350" s="33"/>
      <c r="C350" s="88"/>
      <c r="D350" s="89"/>
      <c r="E350" s="90"/>
      <c r="F350" s="90"/>
      <c r="G350" s="75"/>
      <c r="J350" s="54"/>
    </row>
    <row r="351" spans="1:10" s="34" customFormat="1" x14ac:dyDescent="0.25">
      <c r="A351" s="33"/>
      <c r="B351" s="33"/>
      <c r="C351" s="88"/>
      <c r="D351" s="89"/>
      <c r="E351" s="90"/>
      <c r="F351" s="90"/>
      <c r="G351" s="75"/>
      <c r="J351" s="54"/>
    </row>
    <row r="352" spans="1:10" s="34" customFormat="1" x14ac:dyDescent="0.25">
      <c r="A352" s="33"/>
      <c r="B352" s="33"/>
      <c r="C352" s="88"/>
      <c r="D352" s="89"/>
      <c r="E352" s="90"/>
      <c r="F352" s="90"/>
      <c r="G352" s="75"/>
      <c r="J352" s="54"/>
    </row>
    <row r="353" spans="1:10" s="34" customFormat="1" x14ac:dyDescent="0.25">
      <c r="A353" s="33"/>
      <c r="B353" s="33"/>
      <c r="C353" s="88"/>
      <c r="D353" s="89"/>
      <c r="E353" s="90"/>
      <c r="F353" s="90"/>
      <c r="G353" s="75"/>
      <c r="J353" s="54"/>
    </row>
    <row r="354" spans="1:10" s="34" customFormat="1" x14ac:dyDescent="0.25">
      <c r="A354" s="33"/>
      <c r="B354" s="33"/>
      <c r="C354" s="88"/>
      <c r="D354" s="89"/>
      <c r="E354" s="90"/>
      <c r="F354" s="90"/>
      <c r="G354" s="75"/>
      <c r="J354" s="54"/>
    </row>
    <row r="355" spans="1:10" s="34" customFormat="1" x14ac:dyDescent="0.25">
      <c r="A355" s="33"/>
      <c r="B355" s="33"/>
      <c r="C355" s="88"/>
      <c r="D355" s="89"/>
      <c r="E355" s="90"/>
      <c r="F355" s="90"/>
      <c r="G355" s="75"/>
      <c r="J355" s="54"/>
    </row>
    <row r="356" spans="1:10" s="34" customFormat="1" x14ac:dyDescent="0.25">
      <c r="A356" s="33"/>
      <c r="B356" s="33"/>
      <c r="C356" s="88"/>
      <c r="D356" s="89"/>
      <c r="E356" s="90"/>
      <c r="F356" s="90"/>
      <c r="G356" s="75"/>
      <c r="J356" s="54"/>
    </row>
    <row r="357" spans="1:10" s="34" customFormat="1" x14ac:dyDescent="0.25">
      <c r="A357" s="33"/>
      <c r="B357" s="33"/>
      <c r="C357" s="88"/>
      <c r="D357" s="89"/>
      <c r="E357" s="90"/>
      <c r="F357" s="90"/>
      <c r="G357" s="75"/>
      <c r="J357" s="54"/>
    </row>
    <row r="358" spans="1:10" s="34" customFormat="1" x14ac:dyDescent="0.25">
      <c r="A358" s="33"/>
      <c r="B358" s="33"/>
      <c r="C358" s="88"/>
      <c r="D358" s="89"/>
      <c r="E358" s="90"/>
      <c r="F358" s="90"/>
      <c r="G358" s="75"/>
      <c r="J358" s="54"/>
    </row>
    <row r="359" spans="1:10" s="34" customFormat="1" x14ac:dyDescent="0.25">
      <c r="A359" s="33"/>
      <c r="B359" s="33"/>
      <c r="C359" s="88"/>
      <c r="D359" s="89"/>
      <c r="E359" s="90"/>
      <c r="F359" s="90"/>
      <c r="G359" s="75"/>
      <c r="J359" s="54"/>
    </row>
    <row r="360" spans="1:10" s="34" customFormat="1" x14ac:dyDescent="0.25">
      <c r="A360" s="33"/>
      <c r="B360" s="33"/>
      <c r="C360" s="88"/>
      <c r="D360" s="89"/>
      <c r="E360" s="90"/>
      <c r="F360" s="90"/>
      <c r="G360" s="75"/>
      <c r="J360" s="54"/>
    </row>
    <row r="361" spans="1:10" s="34" customFormat="1" x14ac:dyDescent="0.25">
      <c r="A361" s="33"/>
      <c r="B361" s="33"/>
      <c r="C361" s="88"/>
      <c r="D361" s="89"/>
      <c r="E361" s="90"/>
      <c r="F361" s="90"/>
      <c r="G361" s="75"/>
      <c r="J361" s="54"/>
    </row>
    <row r="362" spans="1:10" s="34" customFormat="1" x14ac:dyDescent="0.25">
      <c r="A362" s="33"/>
      <c r="B362" s="33"/>
      <c r="C362" s="88"/>
      <c r="D362" s="89"/>
      <c r="E362" s="90"/>
      <c r="F362" s="90"/>
      <c r="G362" s="75"/>
      <c r="J362" s="54"/>
    </row>
    <row r="363" spans="1:10" s="34" customFormat="1" x14ac:dyDescent="0.25">
      <c r="A363" s="33"/>
      <c r="B363" s="33"/>
      <c r="C363" s="88"/>
      <c r="D363" s="89"/>
      <c r="E363" s="90"/>
      <c r="F363" s="90"/>
      <c r="G363" s="75"/>
      <c r="J363" s="54"/>
    </row>
    <row r="364" spans="1:10" s="34" customFormat="1" x14ac:dyDescent="0.25">
      <c r="A364" s="33"/>
      <c r="B364" s="33"/>
      <c r="C364" s="88"/>
      <c r="D364" s="89"/>
      <c r="E364" s="90"/>
      <c r="F364" s="90"/>
      <c r="G364" s="75"/>
      <c r="J364" s="54"/>
    </row>
    <row r="365" spans="1:10" s="34" customFormat="1" x14ac:dyDescent="0.25">
      <c r="A365" s="33"/>
      <c r="B365" s="33"/>
      <c r="C365" s="88"/>
      <c r="D365" s="89"/>
      <c r="E365" s="90"/>
      <c r="F365" s="90"/>
      <c r="G365" s="75"/>
      <c r="J365" s="54"/>
    </row>
    <row r="366" spans="1:10" s="34" customFormat="1" x14ac:dyDescent="0.25">
      <c r="A366" s="33"/>
      <c r="B366" s="33"/>
      <c r="C366" s="88"/>
      <c r="D366" s="89"/>
      <c r="E366" s="90"/>
      <c r="F366" s="90"/>
      <c r="G366" s="75"/>
      <c r="J366" s="54"/>
    </row>
    <row r="367" spans="1:10" s="34" customFormat="1" x14ac:dyDescent="0.25">
      <c r="A367" s="33"/>
      <c r="B367" s="33"/>
      <c r="C367" s="88"/>
      <c r="D367" s="89"/>
      <c r="E367" s="90"/>
      <c r="F367" s="90"/>
      <c r="G367" s="75"/>
      <c r="J367" s="54"/>
    </row>
    <row r="368" spans="1:10" s="34" customFormat="1" x14ac:dyDescent="0.25">
      <c r="A368" s="33"/>
      <c r="B368" s="33"/>
      <c r="C368" s="88"/>
      <c r="D368" s="89"/>
      <c r="E368" s="90"/>
      <c r="F368" s="90"/>
      <c r="G368" s="75"/>
      <c r="J368" s="54"/>
    </row>
    <row r="369" spans="1:10" s="34" customFormat="1" x14ac:dyDescent="0.25">
      <c r="A369" s="33"/>
      <c r="B369" s="33"/>
      <c r="C369" s="88"/>
      <c r="D369" s="89"/>
      <c r="E369" s="90"/>
      <c r="F369" s="90"/>
      <c r="G369" s="75"/>
      <c r="J369" s="54"/>
    </row>
    <row r="370" spans="1:10" s="34" customFormat="1" x14ac:dyDescent="0.25">
      <c r="A370" s="33"/>
      <c r="B370" s="33"/>
      <c r="C370" s="88"/>
      <c r="D370" s="89"/>
      <c r="E370" s="90"/>
      <c r="F370" s="90"/>
      <c r="G370" s="75"/>
      <c r="J370" s="54"/>
    </row>
    <row r="371" spans="1:10" s="34" customFormat="1" x14ac:dyDescent="0.25">
      <c r="A371" s="33"/>
      <c r="B371" s="33"/>
      <c r="C371" s="88"/>
      <c r="D371" s="89"/>
      <c r="E371" s="90"/>
      <c r="F371" s="90"/>
      <c r="G371" s="75"/>
      <c r="J371" s="54"/>
    </row>
    <row r="372" spans="1:10" s="34" customFormat="1" x14ac:dyDescent="0.25">
      <c r="A372" s="33"/>
      <c r="B372" s="33"/>
      <c r="C372" s="88"/>
      <c r="D372" s="89"/>
      <c r="E372" s="90"/>
      <c r="F372" s="90"/>
      <c r="G372" s="75"/>
      <c r="J372" s="54"/>
    </row>
    <row r="373" spans="1:10" s="34" customFormat="1" x14ac:dyDescent="0.25">
      <c r="A373" s="33"/>
      <c r="B373" s="33"/>
      <c r="C373" s="88"/>
      <c r="D373" s="89"/>
      <c r="E373" s="90"/>
      <c r="F373" s="90"/>
      <c r="G373" s="75"/>
      <c r="J373" s="54"/>
    </row>
    <row r="374" spans="1:10" s="34" customFormat="1" x14ac:dyDescent="0.25">
      <c r="A374" s="33"/>
      <c r="B374" s="33"/>
      <c r="C374" s="88"/>
      <c r="D374" s="89"/>
      <c r="E374" s="90"/>
      <c r="F374" s="90"/>
      <c r="G374" s="75"/>
      <c r="J374" s="54"/>
    </row>
    <row r="375" spans="1:10" s="34" customFormat="1" x14ac:dyDescent="0.25">
      <c r="A375" s="33"/>
      <c r="B375" s="33"/>
      <c r="C375" s="88"/>
      <c r="D375" s="89"/>
      <c r="E375" s="90"/>
      <c r="F375" s="90"/>
      <c r="G375" s="75"/>
      <c r="J375" s="54"/>
    </row>
    <row r="376" spans="1:10" s="34" customFormat="1" x14ac:dyDescent="0.25">
      <c r="A376" s="33"/>
      <c r="B376" s="33"/>
      <c r="C376" s="88"/>
      <c r="D376" s="89"/>
      <c r="E376" s="90"/>
      <c r="F376" s="90"/>
      <c r="G376" s="75"/>
      <c r="J376" s="54"/>
    </row>
    <row r="377" spans="1:10" s="34" customFormat="1" x14ac:dyDescent="0.25">
      <c r="A377" s="33"/>
      <c r="B377" s="33"/>
      <c r="C377" s="88"/>
      <c r="D377" s="89"/>
      <c r="E377" s="90"/>
      <c r="F377" s="90"/>
      <c r="G377" s="75"/>
      <c r="J377" s="54"/>
    </row>
    <row r="378" spans="1:10" s="34" customFormat="1" x14ac:dyDescent="0.25">
      <c r="A378" s="33"/>
      <c r="B378" s="33"/>
      <c r="C378" s="88"/>
      <c r="D378" s="89"/>
      <c r="E378" s="90"/>
      <c r="F378" s="90"/>
      <c r="G378" s="75"/>
      <c r="J378" s="54"/>
    </row>
    <row r="379" spans="1:10" s="34" customFormat="1" x14ac:dyDescent="0.25">
      <c r="A379" s="33"/>
      <c r="B379" s="33"/>
      <c r="C379" s="88"/>
      <c r="D379" s="89"/>
      <c r="E379" s="90"/>
      <c r="F379" s="90"/>
      <c r="G379" s="75"/>
      <c r="J379" s="54"/>
    </row>
    <row r="380" spans="1:10" s="34" customFormat="1" x14ac:dyDescent="0.25">
      <c r="A380" s="33"/>
      <c r="B380" s="33"/>
      <c r="C380" s="88"/>
      <c r="D380" s="89"/>
      <c r="E380" s="90"/>
      <c r="F380" s="90"/>
      <c r="G380" s="75"/>
      <c r="J380" s="54"/>
    </row>
    <row r="381" spans="1:10" s="34" customFormat="1" x14ac:dyDescent="0.25">
      <c r="A381" s="33"/>
      <c r="B381" s="33"/>
      <c r="C381" s="88"/>
      <c r="D381" s="89"/>
      <c r="E381" s="90"/>
      <c r="F381" s="90"/>
      <c r="G381" s="75"/>
      <c r="J381" s="54"/>
    </row>
    <row r="382" spans="1:10" s="34" customFormat="1" x14ac:dyDescent="0.25">
      <c r="A382" s="33"/>
      <c r="B382" s="33"/>
      <c r="C382" s="88"/>
      <c r="D382" s="89"/>
      <c r="E382" s="90"/>
      <c r="F382" s="90"/>
      <c r="G382" s="75"/>
      <c r="J382" s="54"/>
    </row>
    <row r="383" spans="1:10" s="34" customFormat="1" x14ac:dyDescent="0.25">
      <c r="A383" s="33"/>
      <c r="B383" s="33"/>
      <c r="C383" s="88"/>
      <c r="D383" s="89"/>
      <c r="E383" s="90"/>
      <c r="F383" s="90"/>
      <c r="G383" s="75"/>
      <c r="J383" s="54"/>
    </row>
    <row r="384" spans="1:10" s="34" customFormat="1" x14ac:dyDescent="0.25">
      <c r="A384" s="33"/>
      <c r="B384" s="33"/>
      <c r="C384" s="88"/>
      <c r="D384" s="89"/>
      <c r="E384" s="90"/>
      <c r="F384" s="90"/>
      <c r="G384" s="75"/>
      <c r="J384" s="54"/>
    </row>
    <row r="385" spans="1:10" s="34" customFormat="1" x14ac:dyDescent="0.25">
      <c r="A385" s="33"/>
      <c r="B385" s="33"/>
      <c r="C385" s="88"/>
      <c r="D385" s="89"/>
      <c r="E385" s="90"/>
      <c r="F385" s="90"/>
      <c r="G385" s="75"/>
      <c r="J385" s="54"/>
    </row>
    <row r="386" spans="1:10" s="34" customFormat="1" x14ac:dyDescent="0.25">
      <c r="A386" s="33"/>
      <c r="B386" s="33"/>
      <c r="C386" s="88"/>
      <c r="D386" s="89"/>
      <c r="E386" s="90"/>
      <c r="F386" s="90"/>
      <c r="G386" s="75"/>
      <c r="J386" s="54"/>
    </row>
    <row r="387" spans="1:10" s="34" customFormat="1" x14ac:dyDescent="0.25">
      <c r="A387" s="33"/>
      <c r="B387" s="33"/>
      <c r="C387" s="88"/>
      <c r="D387" s="89"/>
      <c r="E387" s="90"/>
      <c r="F387" s="90"/>
      <c r="G387" s="75"/>
      <c r="J387" s="54"/>
    </row>
    <row r="388" spans="1:10" s="34" customFormat="1" x14ac:dyDescent="0.25">
      <c r="A388" s="33"/>
      <c r="B388" s="33"/>
      <c r="C388" s="88"/>
      <c r="D388" s="89"/>
      <c r="E388" s="90"/>
      <c r="F388" s="90"/>
      <c r="G388" s="75"/>
      <c r="J388" s="54"/>
    </row>
    <row r="389" spans="1:10" s="34" customFormat="1" x14ac:dyDescent="0.25">
      <c r="A389" s="33"/>
      <c r="B389" s="33"/>
      <c r="C389" s="88"/>
      <c r="D389" s="89"/>
      <c r="E389" s="90"/>
      <c r="F389" s="90"/>
      <c r="G389" s="75"/>
      <c r="J389" s="54"/>
    </row>
    <row r="390" spans="1:10" s="34" customFormat="1" x14ac:dyDescent="0.25">
      <c r="A390" s="33"/>
      <c r="B390" s="33"/>
      <c r="C390" s="88"/>
      <c r="D390" s="89"/>
      <c r="E390" s="90"/>
      <c r="F390" s="90"/>
      <c r="G390" s="75"/>
      <c r="J390" s="54"/>
    </row>
    <row r="391" spans="1:10" s="34" customFormat="1" x14ac:dyDescent="0.25">
      <c r="A391" s="33"/>
      <c r="B391" s="33"/>
      <c r="C391" s="88"/>
      <c r="D391" s="89"/>
      <c r="E391" s="90"/>
      <c r="F391" s="90"/>
      <c r="G391" s="75"/>
      <c r="J391" s="54"/>
    </row>
    <row r="392" spans="1:10" s="34" customFormat="1" x14ac:dyDescent="0.25">
      <c r="A392" s="33"/>
      <c r="B392" s="33"/>
      <c r="C392" s="88"/>
      <c r="D392" s="89"/>
      <c r="E392" s="90"/>
      <c r="F392" s="90"/>
      <c r="G392" s="75"/>
      <c r="J392" s="54"/>
    </row>
    <row r="393" spans="1:10" s="34" customFormat="1" x14ac:dyDescent="0.25">
      <c r="A393" s="33"/>
      <c r="B393" s="33"/>
      <c r="C393" s="88"/>
      <c r="D393" s="89"/>
      <c r="E393" s="90"/>
      <c r="F393" s="90"/>
      <c r="G393" s="75"/>
      <c r="J393" s="54"/>
    </row>
    <row r="394" spans="1:10" s="34" customFormat="1" x14ac:dyDescent="0.25">
      <c r="A394" s="33"/>
      <c r="B394" s="33"/>
      <c r="C394" s="88"/>
      <c r="D394" s="89"/>
      <c r="E394" s="90"/>
      <c r="F394" s="90"/>
      <c r="G394" s="75"/>
      <c r="J394" s="54"/>
    </row>
    <row r="395" spans="1:10" s="34" customFormat="1" x14ac:dyDescent="0.25">
      <c r="A395" s="33"/>
      <c r="B395" s="33"/>
      <c r="C395" s="88"/>
      <c r="D395" s="89"/>
      <c r="E395" s="90"/>
      <c r="F395" s="90"/>
      <c r="G395" s="75"/>
      <c r="J395" s="54"/>
    </row>
    <row r="396" spans="1:10" s="34" customFormat="1" x14ac:dyDescent="0.25">
      <c r="A396" s="33"/>
      <c r="B396" s="33"/>
      <c r="C396" s="88"/>
      <c r="D396" s="89"/>
      <c r="E396" s="90"/>
      <c r="F396" s="90"/>
      <c r="G396" s="75"/>
      <c r="J396" s="54"/>
    </row>
    <row r="397" spans="1:10" s="34" customFormat="1" x14ac:dyDescent="0.25">
      <c r="A397" s="33"/>
      <c r="B397" s="33"/>
      <c r="C397" s="88"/>
      <c r="D397" s="89"/>
      <c r="E397" s="90"/>
      <c r="F397" s="90"/>
      <c r="G397" s="75"/>
      <c r="J397" s="54"/>
    </row>
    <row r="398" spans="1:10" s="34" customFormat="1" x14ac:dyDescent="0.25">
      <c r="A398" s="33"/>
      <c r="B398" s="33"/>
      <c r="C398" s="88"/>
      <c r="D398" s="89"/>
      <c r="E398" s="90"/>
      <c r="F398" s="90"/>
      <c r="G398" s="75"/>
      <c r="J398" s="54"/>
    </row>
    <row r="399" spans="1:10" s="34" customFormat="1" x14ac:dyDescent="0.25">
      <c r="A399" s="33"/>
      <c r="B399" s="33"/>
      <c r="C399" s="88"/>
      <c r="D399" s="89"/>
      <c r="E399" s="90"/>
      <c r="F399" s="90"/>
      <c r="G399" s="75"/>
      <c r="J399" s="54"/>
    </row>
    <row r="400" spans="1:10" s="34" customFormat="1" x14ac:dyDescent="0.25">
      <c r="A400" s="33"/>
      <c r="B400" s="33"/>
      <c r="C400" s="88"/>
      <c r="D400" s="89"/>
      <c r="E400" s="90"/>
      <c r="F400" s="90"/>
      <c r="G400" s="75"/>
      <c r="J400" s="54"/>
    </row>
    <row r="401" spans="1:10" s="34" customFormat="1" x14ac:dyDescent="0.25">
      <c r="A401" s="33"/>
      <c r="B401" s="33"/>
      <c r="C401" s="88"/>
      <c r="D401" s="89"/>
      <c r="E401" s="90"/>
      <c r="F401" s="90"/>
      <c r="G401" s="75"/>
      <c r="J401" s="54"/>
    </row>
    <row r="402" spans="1:10" s="34" customFormat="1" x14ac:dyDescent="0.25">
      <c r="A402" s="33"/>
      <c r="B402" s="33"/>
      <c r="C402" s="88"/>
      <c r="D402" s="89"/>
      <c r="E402" s="90"/>
      <c r="F402" s="90"/>
      <c r="G402" s="75"/>
      <c r="J402" s="54"/>
    </row>
    <row r="403" spans="1:10" s="34" customFormat="1" x14ac:dyDescent="0.25">
      <c r="A403" s="33"/>
      <c r="B403" s="33"/>
      <c r="C403" s="88"/>
      <c r="D403" s="89"/>
      <c r="E403" s="90"/>
      <c r="F403" s="90"/>
      <c r="G403" s="75"/>
      <c r="J403" s="54"/>
    </row>
    <row r="404" spans="1:10" s="34" customFormat="1" x14ac:dyDescent="0.25">
      <c r="A404" s="33"/>
      <c r="B404" s="33"/>
      <c r="C404" s="88"/>
      <c r="D404" s="89"/>
      <c r="E404" s="90"/>
      <c r="F404" s="90"/>
      <c r="G404" s="75"/>
      <c r="J404" s="54"/>
    </row>
    <row r="405" spans="1:10" s="34" customFormat="1" x14ac:dyDescent="0.25">
      <c r="A405" s="33"/>
      <c r="B405" s="33"/>
      <c r="C405" s="88"/>
      <c r="D405" s="89"/>
      <c r="E405" s="90"/>
      <c r="F405" s="90"/>
      <c r="G405" s="75"/>
      <c r="J405" s="54"/>
    </row>
    <row r="406" spans="1:10" s="34" customFormat="1" x14ac:dyDescent="0.25">
      <c r="A406" s="33"/>
      <c r="B406" s="33"/>
      <c r="C406" s="88"/>
      <c r="D406" s="89"/>
      <c r="E406" s="90"/>
      <c r="F406" s="90"/>
      <c r="G406" s="75"/>
      <c r="J406" s="54"/>
    </row>
    <row r="407" spans="1:10" s="34" customFormat="1" x14ac:dyDescent="0.25">
      <c r="A407" s="33"/>
      <c r="B407" s="33"/>
      <c r="C407" s="88"/>
      <c r="D407" s="89"/>
      <c r="E407" s="90"/>
      <c r="F407" s="90"/>
      <c r="G407" s="75"/>
      <c r="J407" s="54"/>
    </row>
    <row r="408" spans="1:10" s="34" customFormat="1" x14ac:dyDescent="0.25">
      <c r="A408" s="33"/>
      <c r="B408" s="33"/>
      <c r="C408" s="88"/>
      <c r="D408" s="89"/>
      <c r="E408" s="90"/>
      <c r="F408" s="90"/>
      <c r="G408" s="75"/>
      <c r="J408" s="54"/>
    </row>
    <row r="409" spans="1:10" s="34" customFormat="1" x14ac:dyDescent="0.25">
      <c r="A409" s="33"/>
      <c r="B409" s="33"/>
      <c r="C409" s="88"/>
      <c r="D409" s="89"/>
      <c r="E409" s="90"/>
      <c r="F409" s="90"/>
      <c r="G409" s="75"/>
      <c r="J409" s="54"/>
    </row>
    <row r="410" spans="1:10" s="34" customFormat="1" x14ac:dyDescent="0.25">
      <c r="A410" s="33"/>
      <c r="B410" s="33"/>
      <c r="C410" s="88"/>
      <c r="D410" s="89"/>
      <c r="E410" s="90"/>
      <c r="F410" s="90"/>
      <c r="G410" s="75"/>
      <c r="J410" s="54"/>
    </row>
    <row r="411" spans="1:10" s="34" customFormat="1" x14ac:dyDescent="0.25">
      <c r="A411" s="33"/>
      <c r="B411" s="33"/>
      <c r="C411" s="88"/>
      <c r="D411" s="89"/>
      <c r="E411" s="90"/>
      <c r="F411" s="90"/>
      <c r="G411" s="75"/>
      <c r="J411" s="54"/>
    </row>
    <row r="412" spans="1:10" s="34" customFormat="1" x14ac:dyDescent="0.25">
      <c r="A412" s="33"/>
      <c r="B412" s="33"/>
      <c r="C412" s="88"/>
      <c r="D412" s="89"/>
      <c r="E412" s="90"/>
      <c r="F412" s="90"/>
      <c r="G412" s="75"/>
      <c r="J412" s="54"/>
    </row>
    <row r="413" spans="1:10" s="34" customFormat="1" x14ac:dyDescent="0.25">
      <c r="A413" s="33"/>
      <c r="B413" s="33"/>
      <c r="C413" s="88"/>
      <c r="D413" s="89"/>
      <c r="E413" s="90"/>
      <c r="F413" s="90"/>
      <c r="G413" s="75"/>
      <c r="J413" s="54"/>
    </row>
    <row r="414" spans="1:10" s="34" customFormat="1" x14ac:dyDescent="0.25">
      <c r="A414" s="33"/>
      <c r="B414" s="33"/>
      <c r="C414" s="88"/>
      <c r="D414" s="89"/>
      <c r="E414" s="90"/>
      <c r="F414" s="90"/>
      <c r="G414" s="75"/>
      <c r="J414" s="54"/>
    </row>
    <row r="415" spans="1:10" s="34" customFormat="1" x14ac:dyDescent="0.25">
      <c r="A415" s="33"/>
      <c r="B415" s="33"/>
      <c r="C415" s="88"/>
      <c r="D415" s="89"/>
      <c r="E415" s="90"/>
      <c r="F415" s="90"/>
      <c r="G415" s="75"/>
      <c r="J415" s="54"/>
    </row>
    <row r="416" spans="1:10" s="34" customFormat="1" x14ac:dyDescent="0.25">
      <c r="A416" s="33"/>
      <c r="B416" s="33"/>
      <c r="C416" s="88"/>
      <c r="D416" s="89"/>
      <c r="E416" s="90"/>
      <c r="F416" s="90"/>
      <c r="G416" s="75"/>
      <c r="J416" s="54"/>
    </row>
    <row r="417" spans="1:10" s="34" customFormat="1" x14ac:dyDescent="0.25">
      <c r="A417" s="33"/>
      <c r="B417" s="33"/>
      <c r="C417" s="88"/>
      <c r="D417" s="89"/>
      <c r="E417" s="90"/>
      <c r="F417" s="90"/>
      <c r="G417" s="75"/>
      <c r="J417" s="54"/>
    </row>
    <row r="418" spans="1:10" s="34" customFormat="1" x14ac:dyDescent="0.25">
      <c r="A418" s="33"/>
      <c r="B418" s="33"/>
      <c r="C418" s="88"/>
      <c r="D418" s="89"/>
      <c r="E418" s="90"/>
      <c r="F418" s="90"/>
      <c r="G418" s="75"/>
      <c r="J418" s="54"/>
    </row>
    <row r="419" spans="1:10" s="34" customFormat="1" x14ac:dyDescent="0.25">
      <c r="A419" s="33"/>
      <c r="B419" s="33"/>
      <c r="C419" s="88"/>
      <c r="D419" s="89"/>
      <c r="E419" s="90"/>
      <c r="F419" s="90"/>
      <c r="G419" s="75"/>
      <c r="J419" s="54"/>
    </row>
    <row r="420" spans="1:10" s="34" customFormat="1" x14ac:dyDescent="0.25">
      <c r="A420" s="33"/>
      <c r="B420" s="33"/>
      <c r="C420" s="88"/>
      <c r="D420" s="89"/>
      <c r="E420" s="90"/>
      <c r="F420" s="90"/>
      <c r="G420" s="75"/>
      <c r="J420" s="54"/>
    </row>
    <row r="421" spans="1:10" s="34" customFormat="1" x14ac:dyDescent="0.25">
      <c r="A421" s="33"/>
      <c r="B421" s="33"/>
      <c r="C421" s="88"/>
      <c r="D421" s="89"/>
      <c r="E421" s="90"/>
      <c r="F421" s="90"/>
      <c r="G421" s="75"/>
      <c r="J421" s="54"/>
    </row>
    <row r="422" spans="1:10" s="34" customFormat="1" x14ac:dyDescent="0.25">
      <c r="A422" s="33"/>
      <c r="B422" s="33"/>
      <c r="C422" s="88"/>
      <c r="D422" s="89"/>
      <c r="E422" s="90"/>
      <c r="F422" s="90"/>
      <c r="G422" s="75"/>
      <c r="J422" s="54"/>
    </row>
    <row r="423" spans="1:10" s="34" customFormat="1" x14ac:dyDescent="0.25">
      <c r="A423" s="33"/>
      <c r="B423" s="33"/>
      <c r="C423" s="88"/>
      <c r="D423" s="89"/>
      <c r="E423" s="90"/>
      <c r="F423" s="90"/>
      <c r="G423" s="75"/>
      <c r="J423" s="54"/>
    </row>
    <row r="424" spans="1:10" s="34" customFormat="1" x14ac:dyDescent="0.25">
      <c r="A424" s="33"/>
      <c r="B424" s="33"/>
      <c r="C424" s="88"/>
      <c r="D424" s="89"/>
      <c r="E424" s="90"/>
      <c r="F424" s="90"/>
      <c r="G424" s="75"/>
      <c r="J424" s="54"/>
    </row>
    <row r="425" spans="1:10" s="34" customFormat="1" x14ac:dyDescent="0.25">
      <c r="A425" s="33"/>
      <c r="B425" s="33"/>
      <c r="C425" s="88"/>
      <c r="D425" s="89"/>
      <c r="E425" s="90"/>
      <c r="F425" s="90"/>
      <c r="G425" s="75"/>
      <c r="J425" s="54"/>
    </row>
    <row r="426" spans="1:10" s="34" customFormat="1" x14ac:dyDescent="0.25">
      <c r="A426" s="33"/>
      <c r="B426" s="33"/>
      <c r="C426" s="88"/>
      <c r="D426" s="89"/>
      <c r="E426" s="90"/>
      <c r="F426" s="90"/>
      <c r="G426" s="75"/>
      <c r="J426" s="54"/>
    </row>
    <row r="427" spans="1:10" s="34" customFormat="1" x14ac:dyDescent="0.25">
      <c r="A427" s="33"/>
      <c r="B427" s="33"/>
      <c r="C427" s="88"/>
      <c r="D427" s="89"/>
      <c r="E427" s="90"/>
      <c r="F427" s="90"/>
      <c r="G427" s="75"/>
      <c r="J427" s="54"/>
    </row>
    <row r="428" spans="1:10" s="34" customFormat="1" x14ac:dyDescent="0.25">
      <c r="A428" s="33"/>
      <c r="B428" s="33"/>
      <c r="C428" s="88"/>
      <c r="D428" s="89"/>
      <c r="E428" s="90"/>
      <c r="F428" s="90"/>
      <c r="G428" s="75"/>
      <c r="J428" s="54"/>
    </row>
    <row r="429" spans="1:10" s="34" customFormat="1" x14ac:dyDescent="0.25">
      <c r="A429" s="33"/>
      <c r="B429" s="33"/>
      <c r="C429" s="88"/>
      <c r="D429" s="89"/>
      <c r="E429" s="90"/>
      <c r="F429" s="90"/>
      <c r="G429" s="75"/>
      <c r="J429" s="54"/>
    </row>
    <row r="430" spans="1:10" s="34" customFormat="1" x14ac:dyDescent="0.25">
      <c r="A430" s="33"/>
      <c r="B430" s="33"/>
      <c r="C430" s="88"/>
      <c r="D430" s="89"/>
      <c r="E430" s="90"/>
      <c r="F430" s="90"/>
      <c r="G430" s="75"/>
      <c r="J430" s="54"/>
    </row>
    <row r="431" spans="1:10" s="34" customFormat="1" x14ac:dyDescent="0.25">
      <c r="A431" s="33"/>
      <c r="B431" s="33"/>
      <c r="C431" s="88"/>
      <c r="D431" s="89"/>
      <c r="E431" s="90"/>
      <c r="F431" s="90"/>
      <c r="G431" s="75"/>
      <c r="J431" s="54"/>
    </row>
    <row r="432" spans="1:10" s="34" customFormat="1" x14ac:dyDescent="0.25">
      <c r="A432" s="33"/>
      <c r="B432" s="33"/>
      <c r="C432" s="88"/>
      <c r="D432" s="89"/>
      <c r="E432" s="90"/>
      <c r="F432" s="90"/>
      <c r="G432" s="75"/>
      <c r="J432" s="54"/>
    </row>
    <row r="433" spans="1:10" s="34" customFormat="1" x14ac:dyDescent="0.25">
      <c r="A433" s="33"/>
      <c r="B433" s="33"/>
      <c r="C433" s="88"/>
      <c r="D433" s="89"/>
      <c r="E433" s="90"/>
      <c r="F433" s="90"/>
      <c r="G433" s="75"/>
      <c r="J433" s="54"/>
    </row>
    <row r="434" spans="1:10" s="34" customFormat="1" x14ac:dyDescent="0.25">
      <c r="A434" s="33"/>
      <c r="B434" s="33"/>
      <c r="C434" s="88"/>
      <c r="D434" s="89"/>
      <c r="E434" s="90"/>
      <c r="F434" s="90"/>
      <c r="G434" s="75"/>
      <c r="J434" s="54"/>
    </row>
    <row r="435" spans="1:10" s="34" customFormat="1" x14ac:dyDescent="0.25">
      <c r="A435" s="33"/>
      <c r="B435" s="33"/>
      <c r="C435" s="88"/>
      <c r="D435" s="89"/>
      <c r="E435" s="90"/>
      <c r="F435" s="90"/>
      <c r="G435" s="75"/>
      <c r="J435" s="54"/>
    </row>
    <row r="436" spans="1:10" s="34" customFormat="1" x14ac:dyDescent="0.25">
      <c r="A436" s="33"/>
      <c r="B436" s="33"/>
      <c r="C436" s="88"/>
      <c r="D436" s="89"/>
      <c r="E436" s="90"/>
      <c r="F436" s="90"/>
      <c r="G436" s="75"/>
      <c r="J436" s="54"/>
    </row>
    <row r="437" spans="1:10" s="34" customFormat="1" x14ac:dyDescent="0.25">
      <c r="A437" s="33"/>
      <c r="B437" s="33"/>
      <c r="C437" s="88"/>
      <c r="D437" s="89"/>
      <c r="E437" s="90"/>
      <c r="F437" s="90"/>
      <c r="G437" s="75"/>
      <c r="J437" s="54"/>
    </row>
    <row r="438" spans="1:10" s="34" customFormat="1" x14ac:dyDescent="0.25">
      <c r="A438" s="33"/>
      <c r="B438" s="33"/>
      <c r="C438" s="88"/>
      <c r="D438" s="89"/>
      <c r="E438" s="90"/>
      <c r="F438" s="90"/>
      <c r="G438" s="75"/>
      <c r="J438" s="54"/>
    </row>
    <row r="439" spans="1:10" s="34" customFormat="1" x14ac:dyDescent="0.25">
      <c r="A439" s="33"/>
      <c r="B439" s="33"/>
      <c r="C439" s="88"/>
      <c r="D439" s="89"/>
      <c r="E439" s="90"/>
      <c r="F439" s="90"/>
      <c r="G439" s="75"/>
      <c r="J439" s="54"/>
    </row>
    <row r="440" spans="1:10" s="34" customFormat="1" x14ac:dyDescent="0.25">
      <c r="A440" s="33"/>
      <c r="B440" s="33"/>
      <c r="C440" s="88"/>
      <c r="D440" s="89"/>
      <c r="E440" s="90"/>
      <c r="F440" s="90"/>
      <c r="G440" s="75"/>
      <c r="J440" s="54"/>
    </row>
    <row r="441" spans="1:10" s="34" customFormat="1" x14ac:dyDescent="0.25">
      <c r="A441" s="33"/>
      <c r="B441" s="33"/>
      <c r="C441" s="88"/>
      <c r="D441" s="89"/>
      <c r="E441" s="90"/>
      <c r="F441" s="90"/>
      <c r="G441" s="75"/>
      <c r="J441" s="54"/>
    </row>
    <row r="442" spans="1:10" s="34" customFormat="1" x14ac:dyDescent="0.25">
      <c r="A442" s="33"/>
      <c r="B442" s="33"/>
      <c r="C442" s="88"/>
      <c r="D442" s="89"/>
      <c r="E442" s="90"/>
      <c r="F442" s="90"/>
      <c r="G442" s="75"/>
      <c r="J442" s="54"/>
    </row>
    <row r="443" spans="1:10" s="34" customFormat="1" x14ac:dyDescent="0.25">
      <c r="A443" s="33"/>
      <c r="B443" s="33"/>
      <c r="C443" s="88"/>
      <c r="D443" s="89"/>
      <c r="E443" s="90"/>
      <c r="F443" s="90"/>
      <c r="G443" s="75"/>
      <c r="J443" s="54"/>
    </row>
    <row r="444" spans="1:10" s="34" customFormat="1" x14ac:dyDescent="0.25">
      <c r="A444" s="33"/>
      <c r="B444" s="33"/>
      <c r="C444" s="88"/>
      <c r="D444" s="89"/>
      <c r="E444" s="90"/>
      <c r="F444" s="90"/>
      <c r="G444" s="75"/>
      <c r="J444" s="54"/>
    </row>
    <row r="445" spans="1:10" s="34" customFormat="1" x14ac:dyDescent="0.25">
      <c r="A445" s="33"/>
      <c r="B445" s="33"/>
      <c r="C445" s="88"/>
      <c r="D445" s="89"/>
      <c r="E445" s="90"/>
      <c r="F445" s="90"/>
      <c r="G445" s="75"/>
      <c r="J445" s="54"/>
    </row>
    <row r="446" spans="1:10" s="34" customFormat="1" x14ac:dyDescent="0.25">
      <c r="A446" s="33"/>
      <c r="B446" s="33"/>
      <c r="C446" s="88"/>
      <c r="D446" s="89"/>
      <c r="E446" s="90"/>
      <c r="F446" s="90"/>
      <c r="G446" s="75"/>
      <c r="J446" s="54"/>
    </row>
    <row r="447" spans="1:10" s="34" customFormat="1" x14ac:dyDescent="0.25">
      <c r="A447" s="33"/>
      <c r="B447" s="33"/>
      <c r="C447" s="88"/>
      <c r="D447" s="89"/>
      <c r="E447" s="90"/>
      <c r="F447" s="90"/>
      <c r="G447" s="75"/>
      <c r="J447" s="54"/>
    </row>
    <row r="448" spans="1:10" s="34" customFormat="1" x14ac:dyDescent="0.25">
      <c r="A448" s="33"/>
      <c r="B448" s="33"/>
      <c r="C448" s="88"/>
      <c r="D448" s="89"/>
      <c r="E448" s="90"/>
      <c r="F448" s="90"/>
      <c r="G448" s="75"/>
      <c r="J448" s="54"/>
    </row>
    <row r="449" spans="1:10" s="34" customFormat="1" x14ac:dyDescent="0.25">
      <c r="A449" s="33"/>
      <c r="B449" s="33"/>
      <c r="C449" s="88"/>
      <c r="D449" s="89"/>
      <c r="E449" s="90"/>
      <c r="F449" s="90"/>
      <c r="G449" s="75"/>
      <c r="J449" s="54"/>
    </row>
    <row r="450" spans="1:10" s="34" customFormat="1" x14ac:dyDescent="0.25">
      <c r="A450" s="33"/>
      <c r="B450" s="33"/>
      <c r="C450" s="88"/>
      <c r="D450" s="89"/>
      <c r="E450" s="90"/>
      <c r="F450" s="90"/>
      <c r="G450" s="75"/>
      <c r="J450" s="54"/>
    </row>
    <row r="451" spans="1:10" s="34" customFormat="1" x14ac:dyDescent="0.25">
      <c r="A451" s="33"/>
      <c r="B451" s="33"/>
      <c r="C451" s="88"/>
      <c r="D451" s="89"/>
      <c r="E451" s="90"/>
      <c r="F451" s="90"/>
      <c r="G451" s="75"/>
      <c r="J451" s="54"/>
    </row>
    <row r="452" spans="1:10" s="34" customFormat="1" x14ac:dyDescent="0.25">
      <c r="A452" s="33"/>
      <c r="B452" s="33"/>
      <c r="C452" s="88"/>
      <c r="D452" s="89"/>
      <c r="E452" s="90"/>
      <c r="F452" s="90"/>
      <c r="G452" s="75"/>
      <c r="J452" s="54"/>
    </row>
    <row r="453" spans="1:10" s="34" customFormat="1" x14ac:dyDescent="0.25">
      <c r="A453" s="33"/>
      <c r="B453" s="33"/>
      <c r="C453" s="88"/>
      <c r="D453" s="89"/>
      <c r="E453" s="90"/>
      <c r="F453" s="90"/>
      <c r="G453" s="75"/>
      <c r="J453" s="54"/>
    </row>
    <row r="454" spans="1:10" s="34" customFormat="1" x14ac:dyDescent="0.25">
      <c r="A454" s="33"/>
      <c r="B454" s="33"/>
      <c r="C454" s="88"/>
      <c r="D454" s="89"/>
      <c r="E454" s="90"/>
      <c r="F454" s="90"/>
      <c r="G454" s="75"/>
      <c r="J454" s="54"/>
    </row>
    <row r="455" spans="1:10" s="34" customFormat="1" x14ac:dyDescent="0.25">
      <c r="A455" s="33"/>
      <c r="B455" s="33"/>
      <c r="C455" s="88"/>
      <c r="D455" s="89"/>
      <c r="E455" s="90"/>
      <c r="F455" s="90"/>
      <c r="G455" s="75"/>
      <c r="J455" s="54"/>
    </row>
    <row r="456" spans="1:10" s="34" customFormat="1" x14ac:dyDescent="0.25">
      <c r="A456" s="33"/>
      <c r="B456" s="33"/>
      <c r="C456" s="88"/>
      <c r="D456" s="89"/>
      <c r="E456" s="90"/>
      <c r="F456" s="90"/>
      <c r="G456" s="75"/>
      <c r="J456" s="54"/>
    </row>
    <row r="457" spans="1:10" s="34" customFormat="1" x14ac:dyDescent="0.25">
      <c r="A457" s="33"/>
      <c r="B457" s="33"/>
      <c r="C457" s="88"/>
      <c r="D457" s="89"/>
      <c r="E457" s="90"/>
      <c r="F457" s="90"/>
      <c r="G457" s="75"/>
      <c r="J457" s="54"/>
    </row>
    <row r="458" spans="1:10" s="34" customFormat="1" x14ac:dyDescent="0.25">
      <c r="A458" s="33"/>
      <c r="B458" s="33"/>
      <c r="C458" s="88"/>
      <c r="D458" s="89"/>
      <c r="E458" s="90"/>
      <c r="F458" s="90"/>
      <c r="G458" s="75"/>
      <c r="J458" s="54"/>
    </row>
    <row r="459" spans="1:10" s="34" customFormat="1" x14ac:dyDescent="0.25">
      <c r="A459" s="33"/>
      <c r="B459" s="33"/>
      <c r="C459" s="88"/>
      <c r="D459" s="89"/>
      <c r="E459" s="90"/>
      <c r="F459" s="90"/>
      <c r="G459" s="75"/>
      <c r="J459" s="54"/>
    </row>
    <row r="460" spans="1:10" s="34" customFormat="1" x14ac:dyDescent="0.25">
      <c r="A460" s="33"/>
      <c r="B460" s="33"/>
      <c r="C460" s="88"/>
      <c r="D460" s="89"/>
      <c r="E460" s="90"/>
      <c r="F460" s="90"/>
      <c r="G460" s="75"/>
      <c r="J460" s="54"/>
    </row>
    <row r="461" spans="1:10" s="34" customFormat="1" x14ac:dyDescent="0.25">
      <c r="A461" s="33"/>
      <c r="B461" s="33"/>
      <c r="C461" s="88"/>
      <c r="D461" s="89"/>
      <c r="E461" s="90"/>
      <c r="F461" s="90"/>
      <c r="G461" s="75"/>
      <c r="J461" s="54"/>
    </row>
    <row r="462" spans="1:10" s="34" customFormat="1" x14ac:dyDescent="0.25">
      <c r="A462" s="33"/>
      <c r="B462" s="33"/>
      <c r="C462" s="88"/>
      <c r="D462" s="89"/>
      <c r="E462" s="90"/>
      <c r="F462" s="90"/>
      <c r="G462" s="75"/>
      <c r="J462" s="54"/>
    </row>
    <row r="463" spans="1:10" s="34" customFormat="1" x14ac:dyDescent="0.25">
      <c r="A463" s="33"/>
      <c r="B463" s="33"/>
      <c r="C463" s="88"/>
      <c r="D463" s="89"/>
      <c r="E463" s="90"/>
      <c r="F463" s="90"/>
      <c r="G463" s="75"/>
      <c r="J463" s="54"/>
    </row>
    <row r="464" spans="1:10" s="34" customFormat="1" x14ac:dyDescent="0.25">
      <c r="A464" s="33"/>
      <c r="B464" s="33"/>
      <c r="C464" s="88"/>
      <c r="D464" s="89"/>
      <c r="E464" s="90"/>
      <c r="F464" s="90"/>
      <c r="G464" s="75"/>
      <c r="J464" s="54"/>
    </row>
    <row r="465" spans="1:10" s="34" customFormat="1" x14ac:dyDescent="0.25">
      <c r="A465" s="33"/>
      <c r="B465" s="33"/>
      <c r="C465" s="88"/>
      <c r="D465" s="89"/>
      <c r="E465" s="90"/>
      <c r="F465" s="90"/>
      <c r="G465" s="75"/>
      <c r="J465" s="54"/>
    </row>
    <row r="466" spans="1:10" s="34" customFormat="1" x14ac:dyDescent="0.25">
      <c r="A466" s="33"/>
      <c r="B466" s="33"/>
      <c r="C466" s="88"/>
      <c r="D466" s="89"/>
      <c r="E466" s="90"/>
      <c r="F466" s="90"/>
      <c r="G466" s="75"/>
      <c r="J466" s="54"/>
    </row>
    <row r="467" spans="1:10" s="34" customFormat="1" x14ac:dyDescent="0.25">
      <c r="A467" s="33"/>
      <c r="B467" s="33"/>
      <c r="C467" s="88"/>
      <c r="D467" s="89"/>
      <c r="E467" s="90"/>
      <c r="F467" s="90"/>
      <c r="G467" s="75"/>
      <c r="J467" s="54"/>
    </row>
    <row r="468" spans="1:10" s="34" customFormat="1" x14ac:dyDescent="0.25">
      <c r="A468" s="33"/>
      <c r="B468" s="33"/>
      <c r="C468" s="88"/>
      <c r="D468" s="89"/>
      <c r="E468" s="90"/>
      <c r="F468" s="90"/>
      <c r="G468" s="75"/>
      <c r="J468" s="54"/>
    </row>
    <row r="469" spans="1:10" s="34" customFormat="1" x14ac:dyDescent="0.25">
      <c r="A469" s="33"/>
      <c r="B469" s="33"/>
      <c r="C469" s="88"/>
      <c r="D469" s="89"/>
      <c r="E469" s="90"/>
      <c r="F469" s="90"/>
      <c r="G469" s="75"/>
      <c r="J469" s="54"/>
    </row>
    <row r="470" spans="1:10" s="34" customFormat="1" x14ac:dyDescent="0.25">
      <c r="A470" s="33"/>
      <c r="B470" s="33"/>
      <c r="C470" s="88"/>
      <c r="D470" s="89"/>
      <c r="E470" s="90"/>
      <c r="F470" s="90"/>
      <c r="G470" s="75"/>
      <c r="J470" s="54"/>
    </row>
    <row r="471" spans="1:10" s="34" customFormat="1" x14ac:dyDescent="0.25">
      <c r="A471" s="33"/>
      <c r="B471" s="33"/>
      <c r="C471" s="88"/>
      <c r="D471" s="89"/>
      <c r="E471" s="90"/>
      <c r="F471" s="90"/>
      <c r="G471" s="75"/>
      <c r="J471" s="54"/>
    </row>
    <row r="472" spans="1:10" s="34" customFormat="1" x14ac:dyDescent="0.25">
      <c r="A472" s="33"/>
      <c r="B472" s="33"/>
      <c r="C472" s="88"/>
      <c r="D472" s="89"/>
      <c r="E472" s="90"/>
      <c r="F472" s="90"/>
      <c r="G472" s="75"/>
      <c r="J472" s="54"/>
    </row>
    <row r="473" spans="1:10" s="34" customFormat="1" x14ac:dyDescent="0.25">
      <c r="A473" s="33"/>
      <c r="B473" s="33"/>
      <c r="C473" s="88"/>
      <c r="D473" s="89"/>
      <c r="E473" s="90"/>
      <c r="F473" s="90"/>
      <c r="G473" s="75"/>
      <c r="J473" s="54"/>
    </row>
    <row r="474" spans="1:10" s="34" customFormat="1" x14ac:dyDescent="0.25">
      <c r="A474" s="33"/>
      <c r="B474" s="33"/>
      <c r="C474" s="88"/>
      <c r="D474" s="89"/>
      <c r="E474" s="90"/>
      <c r="F474" s="90"/>
      <c r="G474" s="75"/>
      <c r="J474" s="54"/>
    </row>
    <row r="475" spans="1:10" s="34" customFormat="1" x14ac:dyDescent="0.25">
      <c r="A475" s="33"/>
      <c r="B475" s="33"/>
      <c r="C475" s="88"/>
      <c r="D475" s="89"/>
      <c r="E475" s="90"/>
      <c r="F475" s="90"/>
      <c r="G475" s="75"/>
      <c r="J475" s="54"/>
    </row>
    <row r="476" spans="1:10" s="34" customFormat="1" x14ac:dyDescent="0.25">
      <c r="A476" s="33"/>
      <c r="B476" s="33"/>
      <c r="C476" s="88"/>
      <c r="D476" s="89"/>
      <c r="E476" s="90"/>
      <c r="F476" s="90"/>
      <c r="G476" s="75"/>
      <c r="J476" s="54"/>
    </row>
    <row r="477" spans="1:10" s="34" customFormat="1" x14ac:dyDescent="0.25">
      <c r="A477" s="33"/>
      <c r="B477" s="33"/>
      <c r="C477" s="88"/>
      <c r="D477" s="89"/>
      <c r="E477" s="90"/>
      <c r="F477" s="90"/>
      <c r="G477" s="75"/>
      <c r="J477" s="54"/>
    </row>
    <row r="478" spans="1:10" s="34" customFormat="1" x14ac:dyDescent="0.25">
      <c r="A478" s="33"/>
      <c r="B478" s="33"/>
      <c r="C478" s="88"/>
      <c r="D478" s="89"/>
      <c r="E478" s="90"/>
      <c r="F478" s="90"/>
      <c r="G478" s="75"/>
      <c r="J478" s="54"/>
    </row>
    <row r="479" spans="1:10" s="34" customFormat="1" x14ac:dyDescent="0.25">
      <c r="A479" s="33"/>
      <c r="B479" s="33"/>
      <c r="C479" s="88"/>
      <c r="D479" s="89"/>
      <c r="E479" s="90"/>
      <c r="F479" s="90"/>
      <c r="G479" s="75"/>
      <c r="J479" s="54"/>
    </row>
    <row r="480" spans="1:10" s="34" customFormat="1" x14ac:dyDescent="0.25">
      <c r="A480" s="33"/>
      <c r="B480" s="33"/>
      <c r="C480" s="88"/>
      <c r="D480" s="89"/>
      <c r="E480" s="90"/>
      <c r="F480" s="90"/>
      <c r="G480" s="75"/>
      <c r="J480" s="54"/>
    </row>
    <row r="481" spans="1:10" s="34" customFormat="1" x14ac:dyDescent="0.25">
      <c r="A481" s="33"/>
      <c r="B481" s="33"/>
      <c r="C481" s="88"/>
      <c r="D481" s="89"/>
      <c r="E481" s="90"/>
      <c r="F481" s="90"/>
      <c r="G481" s="75"/>
      <c r="J481" s="54"/>
    </row>
    <row r="482" spans="1:10" s="34" customFormat="1" x14ac:dyDescent="0.25">
      <c r="A482" s="33"/>
      <c r="B482" s="33"/>
      <c r="C482" s="88"/>
      <c r="D482" s="89"/>
      <c r="E482" s="90"/>
      <c r="F482" s="90"/>
      <c r="G482" s="75"/>
      <c r="J482" s="54"/>
    </row>
    <row r="483" spans="1:10" s="34" customFormat="1" x14ac:dyDescent="0.25">
      <c r="A483" s="33"/>
      <c r="B483" s="33"/>
      <c r="C483" s="88"/>
      <c r="D483" s="89"/>
      <c r="E483" s="90"/>
      <c r="F483" s="90"/>
      <c r="G483" s="75"/>
      <c r="J483" s="54"/>
    </row>
    <row r="484" spans="1:10" s="34" customFormat="1" x14ac:dyDescent="0.25">
      <c r="A484" s="33"/>
      <c r="B484" s="33"/>
      <c r="C484" s="88"/>
      <c r="D484" s="89"/>
      <c r="E484" s="90"/>
      <c r="F484" s="90"/>
      <c r="G484" s="75"/>
      <c r="J484" s="54"/>
    </row>
    <row r="485" spans="1:10" s="34" customFormat="1" x14ac:dyDescent="0.25">
      <c r="A485" s="33"/>
      <c r="B485" s="33"/>
      <c r="C485" s="88"/>
      <c r="D485" s="89"/>
      <c r="E485" s="90"/>
      <c r="F485" s="90"/>
      <c r="G485" s="75"/>
      <c r="J485" s="54"/>
    </row>
    <row r="486" spans="1:10" s="34" customFormat="1" x14ac:dyDescent="0.25">
      <c r="A486" s="33"/>
      <c r="B486" s="33"/>
      <c r="C486" s="88"/>
      <c r="D486" s="89"/>
      <c r="E486" s="90"/>
      <c r="F486" s="90"/>
      <c r="G486" s="75"/>
      <c r="J486" s="54"/>
    </row>
    <row r="487" spans="1:10" s="34" customFormat="1" x14ac:dyDescent="0.25">
      <c r="A487" s="33"/>
      <c r="B487" s="33"/>
      <c r="C487" s="88"/>
      <c r="D487" s="89"/>
      <c r="E487" s="90"/>
      <c r="F487" s="90"/>
      <c r="G487" s="75"/>
      <c r="J487" s="54"/>
    </row>
    <row r="488" spans="1:10" s="34" customFormat="1" x14ac:dyDescent="0.25">
      <c r="A488" s="33"/>
      <c r="B488" s="33"/>
      <c r="C488" s="88"/>
      <c r="D488" s="89"/>
      <c r="E488" s="90"/>
      <c r="F488" s="90"/>
      <c r="G488" s="75"/>
      <c r="J488" s="54"/>
    </row>
    <row r="489" spans="1:10" s="34" customFormat="1" x14ac:dyDescent="0.25">
      <c r="A489" s="33"/>
      <c r="B489" s="33"/>
      <c r="C489" s="88"/>
      <c r="D489" s="89"/>
      <c r="E489" s="90"/>
      <c r="F489" s="90"/>
      <c r="G489" s="75"/>
      <c r="J489" s="54"/>
    </row>
    <row r="490" spans="1:10" s="34" customFormat="1" x14ac:dyDescent="0.25">
      <c r="A490" s="33"/>
      <c r="B490" s="33"/>
      <c r="C490" s="88"/>
      <c r="D490" s="89"/>
      <c r="E490" s="90"/>
      <c r="F490" s="90"/>
      <c r="G490" s="75"/>
      <c r="J490" s="54"/>
    </row>
    <row r="491" spans="1:10" s="34" customFormat="1" x14ac:dyDescent="0.25">
      <c r="A491" s="33"/>
      <c r="B491" s="33"/>
      <c r="C491" s="88"/>
      <c r="D491" s="89"/>
      <c r="E491" s="90"/>
      <c r="F491" s="90"/>
      <c r="G491" s="75"/>
      <c r="J491" s="54"/>
    </row>
    <row r="492" spans="1:10" s="34" customFormat="1" x14ac:dyDescent="0.25">
      <c r="A492" s="33"/>
      <c r="B492" s="33"/>
      <c r="C492" s="88"/>
      <c r="D492" s="89"/>
      <c r="E492" s="90"/>
      <c r="F492" s="90"/>
      <c r="G492" s="75"/>
      <c r="J492" s="54"/>
    </row>
    <row r="493" spans="1:10" s="34" customFormat="1" x14ac:dyDescent="0.25">
      <c r="A493" s="33"/>
      <c r="B493" s="33"/>
      <c r="C493" s="88"/>
      <c r="D493" s="89"/>
      <c r="E493" s="90"/>
      <c r="F493" s="90"/>
      <c r="G493" s="75"/>
      <c r="J493" s="54"/>
    </row>
    <row r="494" spans="1:10" s="34" customFormat="1" x14ac:dyDescent="0.25">
      <c r="A494" s="33"/>
      <c r="B494" s="33"/>
      <c r="C494" s="88"/>
      <c r="D494" s="89"/>
      <c r="E494" s="90"/>
      <c r="F494" s="90"/>
      <c r="G494" s="75"/>
      <c r="J494" s="54"/>
    </row>
    <row r="495" spans="1:10" s="34" customFormat="1" x14ac:dyDescent="0.25">
      <c r="A495" s="33"/>
      <c r="B495" s="33"/>
      <c r="C495" s="88"/>
      <c r="D495" s="89"/>
      <c r="E495" s="90"/>
      <c r="F495" s="90"/>
      <c r="G495" s="75"/>
      <c r="J495" s="54"/>
    </row>
    <row r="496" spans="1:10" s="34" customFormat="1" x14ac:dyDescent="0.25">
      <c r="A496" s="33"/>
      <c r="B496" s="33"/>
      <c r="C496" s="88"/>
      <c r="D496" s="89"/>
      <c r="E496" s="90"/>
      <c r="F496" s="90"/>
      <c r="G496" s="75"/>
      <c r="J496" s="54"/>
    </row>
    <row r="497" spans="1:10" s="34" customFormat="1" x14ac:dyDescent="0.25">
      <c r="A497" s="33"/>
      <c r="B497" s="33"/>
      <c r="C497" s="88"/>
      <c r="D497" s="89"/>
      <c r="E497" s="90"/>
      <c r="F497" s="90"/>
      <c r="G497" s="75"/>
      <c r="J497" s="54"/>
    </row>
    <row r="498" spans="1:10" s="34" customFormat="1" x14ac:dyDescent="0.25">
      <c r="A498" s="33"/>
      <c r="B498" s="33"/>
      <c r="C498" s="88"/>
      <c r="D498" s="89"/>
      <c r="E498" s="90"/>
      <c r="F498" s="90"/>
      <c r="G498" s="75"/>
      <c r="J498" s="54"/>
    </row>
    <row r="499" spans="1:10" s="34" customFormat="1" x14ac:dyDescent="0.25">
      <c r="A499" s="33"/>
      <c r="B499" s="33"/>
      <c r="C499" s="88"/>
      <c r="D499" s="89"/>
      <c r="E499" s="90"/>
      <c r="F499" s="90"/>
      <c r="G499" s="75"/>
      <c r="J499" s="54"/>
    </row>
    <row r="500" spans="1:10" s="34" customFormat="1" x14ac:dyDescent="0.25">
      <c r="A500" s="33"/>
      <c r="B500" s="33"/>
      <c r="C500" s="88"/>
      <c r="D500" s="89"/>
      <c r="E500" s="90"/>
      <c r="F500" s="90"/>
      <c r="G500" s="75"/>
      <c r="J500" s="54"/>
    </row>
    <row r="501" spans="1:10" s="34" customFormat="1" x14ac:dyDescent="0.25">
      <c r="A501" s="33"/>
      <c r="B501" s="33"/>
      <c r="C501" s="88"/>
      <c r="D501" s="89"/>
      <c r="E501" s="90"/>
      <c r="F501" s="90"/>
      <c r="G501" s="75"/>
      <c r="J501" s="54"/>
    </row>
    <row r="502" spans="1:10" s="34" customFormat="1" x14ac:dyDescent="0.25">
      <c r="A502" s="33"/>
      <c r="B502" s="33"/>
      <c r="C502" s="88"/>
      <c r="D502" s="89"/>
      <c r="E502" s="90"/>
      <c r="F502" s="90"/>
      <c r="G502" s="75"/>
      <c r="J502" s="54"/>
    </row>
    <row r="503" spans="1:10" s="34" customFormat="1" x14ac:dyDescent="0.25">
      <c r="A503" s="33"/>
      <c r="B503" s="33"/>
      <c r="C503" s="88"/>
      <c r="D503" s="89"/>
      <c r="E503" s="90"/>
      <c r="F503" s="90"/>
      <c r="G503" s="75"/>
      <c r="J503" s="54"/>
    </row>
    <row r="504" spans="1:10" s="34" customFormat="1" x14ac:dyDescent="0.25">
      <c r="A504" s="33"/>
      <c r="B504" s="33"/>
      <c r="C504" s="88"/>
      <c r="D504" s="89"/>
      <c r="E504" s="90"/>
      <c r="F504" s="90"/>
      <c r="G504" s="75"/>
      <c r="J504" s="54"/>
    </row>
    <row r="505" spans="1:10" s="34" customFormat="1" x14ac:dyDescent="0.25">
      <c r="A505" s="33"/>
      <c r="B505" s="33"/>
      <c r="C505" s="88"/>
      <c r="D505" s="89"/>
      <c r="E505" s="90"/>
      <c r="F505" s="90"/>
      <c r="G505" s="75"/>
      <c r="J505" s="54"/>
    </row>
    <row r="506" spans="1:10" s="34" customFormat="1" x14ac:dyDescent="0.25">
      <c r="A506" s="33"/>
      <c r="B506" s="33"/>
      <c r="C506" s="88"/>
      <c r="D506" s="89"/>
      <c r="E506" s="90"/>
      <c r="F506" s="90"/>
      <c r="G506" s="75"/>
      <c r="J506" s="54"/>
    </row>
    <row r="507" spans="1:10" s="34" customFormat="1" x14ac:dyDescent="0.25">
      <c r="A507" s="33"/>
      <c r="B507" s="33"/>
      <c r="C507" s="88"/>
      <c r="D507" s="89"/>
      <c r="E507" s="90"/>
      <c r="F507" s="90"/>
      <c r="G507" s="75"/>
      <c r="J507" s="54"/>
    </row>
    <row r="508" spans="1:10" s="34" customFormat="1" x14ac:dyDescent="0.25">
      <c r="A508" s="33"/>
      <c r="B508" s="33"/>
      <c r="C508" s="88"/>
      <c r="D508" s="89"/>
      <c r="E508" s="90"/>
      <c r="F508" s="90"/>
      <c r="G508" s="75"/>
      <c r="J508" s="54"/>
    </row>
    <row r="509" spans="1:10" s="34" customFormat="1" x14ac:dyDescent="0.25">
      <c r="A509" s="33"/>
      <c r="B509" s="33"/>
      <c r="C509" s="88"/>
      <c r="D509" s="89"/>
      <c r="E509" s="90"/>
      <c r="F509" s="90"/>
      <c r="G509" s="75"/>
      <c r="J509" s="54"/>
    </row>
    <row r="510" spans="1:10" s="34" customFormat="1" x14ac:dyDescent="0.25">
      <c r="A510" s="33"/>
      <c r="B510" s="33"/>
      <c r="C510" s="88"/>
      <c r="D510" s="89"/>
      <c r="E510" s="90"/>
      <c r="F510" s="90"/>
      <c r="G510" s="75"/>
      <c r="J510" s="54"/>
    </row>
    <row r="511" spans="1:10" s="34" customFormat="1" x14ac:dyDescent="0.25">
      <c r="A511" s="33"/>
      <c r="B511" s="33"/>
      <c r="C511" s="88"/>
      <c r="D511" s="89"/>
      <c r="E511" s="90"/>
      <c r="F511" s="90"/>
      <c r="G511" s="75"/>
      <c r="J511" s="54"/>
    </row>
    <row r="512" spans="1:10" s="34" customFormat="1" x14ac:dyDescent="0.25">
      <c r="A512" s="33"/>
      <c r="B512" s="33"/>
      <c r="C512" s="88"/>
      <c r="D512" s="89"/>
      <c r="E512" s="90"/>
      <c r="F512" s="90"/>
      <c r="G512" s="75"/>
      <c r="J512" s="54"/>
    </row>
    <row r="513" spans="1:10" s="34" customFormat="1" x14ac:dyDescent="0.25">
      <c r="A513" s="33"/>
      <c r="B513" s="33"/>
      <c r="C513" s="88"/>
      <c r="D513" s="89"/>
      <c r="E513" s="90"/>
      <c r="F513" s="90"/>
      <c r="G513" s="75"/>
      <c r="J513" s="54"/>
    </row>
    <row r="514" spans="1:10" s="34" customFormat="1" x14ac:dyDescent="0.25">
      <c r="A514" s="33"/>
      <c r="B514" s="33"/>
      <c r="C514" s="88"/>
      <c r="D514" s="89"/>
      <c r="E514" s="90"/>
      <c r="F514" s="90"/>
      <c r="G514" s="75"/>
      <c r="J514" s="54"/>
    </row>
    <row r="515" spans="1:10" s="34" customFormat="1" x14ac:dyDescent="0.25">
      <c r="A515" s="33"/>
      <c r="B515" s="33"/>
      <c r="C515" s="88"/>
      <c r="D515" s="89"/>
      <c r="E515" s="90"/>
      <c r="F515" s="90"/>
      <c r="G515" s="75"/>
      <c r="J515" s="54"/>
    </row>
    <row r="516" spans="1:10" s="34" customFormat="1" x14ac:dyDescent="0.25">
      <c r="A516" s="33"/>
      <c r="B516" s="33"/>
      <c r="C516" s="88"/>
      <c r="D516" s="89"/>
      <c r="E516" s="90"/>
      <c r="F516" s="90"/>
      <c r="G516" s="75"/>
      <c r="J516" s="54"/>
    </row>
    <row r="517" spans="1:10" s="34" customFormat="1" x14ac:dyDescent="0.25">
      <c r="A517" s="33"/>
      <c r="B517" s="33"/>
      <c r="C517" s="88"/>
      <c r="D517" s="89"/>
      <c r="E517" s="90"/>
      <c r="F517" s="90"/>
      <c r="G517" s="75"/>
      <c r="J517" s="54"/>
    </row>
    <row r="518" spans="1:10" s="34" customFormat="1" x14ac:dyDescent="0.25">
      <c r="A518" s="33"/>
      <c r="B518" s="33"/>
      <c r="C518" s="88"/>
      <c r="D518" s="89"/>
      <c r="E518" s="90"/>
      <c r="F518" s="90"/>
      <c r="G518" s="75"/>
      <c r="J518" s="54"/>
    </row>
    <row r="519" spans="1:10" s="34" customFormat="1" x14ac:dyDescent="0.25">
      <c r="A519" s="33"/>
      <c r="B519" s="33"/>
      <c r="C519" s="88"/>
      <c r="D519" s="89"/>
      <c r="E519" s="90"/>
      <c r="F519" s="90"/>
      <c r="G519" s="75"/>
      <c r="J519" s="54"/>
    </row>
    <row r="520" spans="1:10" s="34" customFormat="1" x14ac:dyDescent="0.25">
      <c r="A520" s="33"/>
      <c r="B520" s="33"/>
      <c r="C520" s="88"/>
      <c r="D520" s="89"/>
      <c r="E520" s="90"/>
      <c r="F520" s="90"/>
      <c r="G520" s="75"/>
      <c r="J520" s="54"/>
    </row>
    <row r="521" spans="1:10" s="34" customFormat="1" x14ac:dyDescent="0.25">
      <c r="A521" s="33"/>
      <c r="B521" s="33"/>
      <c r="C521" s="88"/>
      <c r="D521" s="89"/>
      <c r="E521" s="90"/>
      <c r="F521" s="90"/>
      <c r="G521" s="75"/>
      <c r="J521" s="54"/>
    </row>
    <row r="522" spans="1:10" s="34" customFormat="1" x14ac:dyDescent="0.25">
      <c r="A522" s="33"/>
      <c r="B522" s="33"/>
      <c r="C522" s="88"/>
      <c r="D522" s="89"/>
      <c r="E522" s="90"/>
      <c r="F522" s="90"/>
      <c r="G522" s="75"/>
      <c r="J522" s="54"/>
    </row>
    <row r="523" spans="1:10" s="34" customFormat="1" x14ac:dyDescent="0.25">
      <c r="A523" s="33"/>
      <c r="B523" s="33"/>
      <c r="C523" s="88"/>
      <c r="D523" s="89"/>
      <c r="E523" s="90"/>
      <c r="F523" s="90"/>
      <c r="G523" s="75"/>
      <c r="J523" s="54"/>
    </row>
    <row r="524" spans="1:10" s="34" customFormat="1" x14ac:dyDescent="0.25">
      <c r="A524" s="33"/>
      <c r="B524" s="33"/>
      <c r="C524" s="88"/>
      <c r="D524" s="89"/>
      <c r="E524" s="90"/>
      <c r="F524" s="90"/>
      <c r="G524" s="75"/>
      <c r="J524" s="54"/>
    </row>
    <row r="525" spans="1:10" s="34" customFormat="1" x14ac:dyDescent="0.25">
      <c r="A525" s="33"/>
      <c r="B525" s="33"/>
      <c r="C525" s="88"/>
      <c r="D525" s="89"/>
      <c r="E525" s="90"/>
      <c r="F525" s="90"/>
      <c r="G525" s="75"/>
      <c r="J525" s="54"/>
    </row>
    <row r="526" spans="1:10" s="34" customFormat="1" x14ac:dyDescent="0.25">
      <c r="A526" s="33"/>
      <c r="B526" s="33"/>
      <c r="C526" s="88"/>
      <c r="D526" s="89"/>
      <c r="E526" s="90"/>
      <c r="F526" s="90"/>
      <c r="G526" s="75"/>
      <c r="J526" s="54"/>
    </row>
    <row r="527" spans="1:10" s="34" customFormat="1" x14ac:dyDescent="0.25">
      <c r="A527" s="33"/>
      <c r="B527" s="33"/>
      <c r="C527" s="88"/>
      <c r="D527" s="89"/>
      <c r="E527" s="90"/>
      <c r="F527" s="90"/>
      <c r="G527" s="75"/>
      <c r="J527" s="54"/>
    </row>
    <row r="528" spans="1:10" s="34" customFormat="1" x14ac:dyDescent="0.25">
      <c r="A528" s="33"/>
      <c r="B528" s="33"/>
      <c r="C528" s="88"/>
      <c r="D528" s="89"/>
      <c r="E528" s="90"/>
      <c r="F528" s="90"/>
      <c r="G528" s="75"/>
      <c r="J528" s="54"/>
    </row>
    <row r="529" spans="1:10" s="34" customFormat="1" x14ac:dyDescent="0.25">
      <c r="A529" s="33"/>
      <c r="B529" s="33"/>
      <c r="C529" s="88"/>
      <c r="D529" s="89"/>
      <c r="E529" s="90"/>
      <c r="F529" s="90"/>
      <c r="G529" s="75"/>
      <c r="J529" s="54"/>
    </row>
    <row r="530" spans="1:10" s="34" customFormat="1" x14ac:dyDescent="0.25">
      <c r="A530" s="33"/>
      <c r="B530" s="33"/>
      <c r="C530" s="88"/>
      <c r="D530" s="89"/>
      <c r="E530" s="90"/>
      <c r="F530" s="90"/>
      <c r="G530" s="75"/>
      <c r="J530" s="54"/>
    </row>
    <row r="531" spans="1:10" s="34" customFormat="1" x14ac:dyDescent="0.25">
      <c r="A531" s="33"/>
      <c r="B531" s="33"/>
      <c r="C531" s="88"/>
      <c r="D531" s="89"/>
      <c r="E531" s="90"/>
      <c r="F531" s="90"/>
      <c r="G531" s="75"/>
      <c r="J531" s="54"/>
    </row>
    <row r="532" spans="1:10" s="34" customFormat="1" x14ac:dyDescent="0.25">
      <c r="A532" s="33"/>
      <c r="B532" s="33"/>
      <c r="C532" s="88"/>
      <c r="D532" s="89"/>
      <c r="E532" s="90"/>
      <c r="F532" s="90"/>
      <c r="G532" s="75"/>
      <c r="J532" s="54"/>
    </row>
    <row r="533" spans="1:10" s="34" customFormat="1" x14ac:dyDescent="0.25">
      <c r="A533" s="33"/>
      <c r="B533" s="33"/>
      <c r="C533" s="88"/>
      <c r="D533" s="89"/>
      <c r="E533" s="90"/>
      <c r="F533" s="90"/>
      <c r="G533" s="75"/>
      <c r="J533" s="54"/>
    </row>
    <row r="534" spans="1:10" s="34" customFormat="1" x14ac:dyDescent="0.25">
      <c r="A534" s="33"/>
      <c r="B534" s="33"/>
      <c r="C534" s="88"/>
      <c r="D534" s="89"/>
      <c r="E534" s="90"/>
      <c r="F534" s="90"/>
      <c r="G534" s="75"/>
      <c r="J534" s="54"/>
    </row>
    <row r="535" spans="1:10" s="34" customFormat="1" x14ac:dyDescent="0.25">
      <c r="A535" s="33"/>
      <c r="B535" s="33"/>
      <c r="C535" s="88"/>
      <c r="D535" s="89"/>
      <c r="E535" s="90"/>
      <c r="F535" s="90"/>
      <c r="G535" s="75"/>
      <c r="J535" s="54"/>
    </row>
    <row r="536" spans="1:10" s="34" customFormat="1" x14ac:dyDescent="0.25">
      <c r="A536" s="33"/>
      <c r="B536" s="33"/>
      <c r="C536" s="88"/>
      <c r="D536" s="89"/>
      <c r="E536" s="90"/>
      <c r="F536" s="90"/>
      <c r="G536" s="75"/>
      <c r="J536" s="54"/>
    </row>
    <row r="537" spans="1:10" s="34" customFormat="1" x14ac:dyDescent="0.25">
      <c r="A537" s="33"/>
      <c r="B537" s="33"/>
      <c r="C537" s="88"/>
      <c r="D537" s="89"/>
      <c r="E537" s="90"/>
      <c r="F537" s="90"/>
      <c r="G537" s="75"/>
      <c r="J537" s="54"/>
    </row>
    <row r="538" spans="1:10" s="34" customFormat="1" x14ac:dyDescent="0.25">
      <c r="A538" s="33"/>
      <c r="B538" s="33"/>
      <c r="C538" s="88"/>
      <c r="D538" s="89"/>
      <c r="E538" s="90"/>
      <c r="F538" s="90"/>
      <c r="G538" s="75"/>
      <c r="J538" s="54"/>
    </row>
    <row r="539" spans="1:10" s="34" customFormat="1" x14ac:dyDescent="0.25">
      <c r="A539" s="33"/>
      <c r="B539" s="33"/>
      <c r="C539" s="88"/>
      <c r="D539" s="89"/>
      <c r="E539" s="90"/>
      <c r="F539" s="90"/>
      <c r="G539" s="75"/>
      <c r="J539" s="54"/>
    </row>
    <row r="540" spans="1:10" s="34" customFormat="1" x14ac:dyDescent="0.25">
      <c r="A540" s="33"/>
      <c r="B540" s="33"/>
      <c r="C540" s="88"/>
      <c r="D540" s="89"/>
      <c r="E540" s="90"/>
      <c r="F540" s="90"/>
      <c r="G540" s="75"/>
      <c r="J540" s="54"/>
    </row>
    <row r="541" spans="1:10" s="34" customFormat="1" x14ac:dyDescent="0.25">
      <c r="A541" s="33"/>
      <c r="B541" s="33"/>
      <c r="C541" s="88"/>
      <c r="D541" s="89"/>
      <c r="E541" s="90"/>
      <c r="F541" s="90"/>
      <c r="G541" s="75"/>
      <c r="J541" s="54"/>
    </row>
    <row r="542" spans="1:10" s="34" customFormat="1" x14ac:dyDescent="0.25">
      <c r="A542" s="33"/>
      <c r="B542" s="33"/>
      <c r="C542" s="88"/>
      <c r="D542" s="89"/>
      <c r="E542" s="90"/>
      <c r="F542" s="90"/>
      <c r="G542" s="75"/>
      <c r="J542" s="54"/>
    </row>
    <row r="543" spans="1:10" s="34" customFormat="1" x14ac:dyDescent="0.25">
      <c r="A543" s="33"/>
      <c r="B543" s="33"/>
      <c r="C543" s="88"/>
      <c r="D543" s="89"/>
      <c r="E543" s="90"/>
      <c r="F543" s="90"/>
      <c r="G543" s="75"/>
      <c r="J543" s="54"/>
    </row>
    <row r="544" spans="1:10" s="34" customFormat="1" x14ac:dyDescent="0.25">
      <c r="A544" s="33"/>
      <c r="B544" s="33"/>
      <c r="C544" s="88"/>
      <c r="D544" s="89"/>
      <c r="E544" s="90"/>
      <c r="F544" s="90"/>
      <c r="G544" s="75"/>
      <c r="J544" s="54"/>
    </row>
    <row r="545" spans="1:10" s="34" customFormat="1" x14ac:dyDescent="0.25">
      <c r="A545" s="33"/>
      <c r="B545" s="33"/>
      <c r="C545" s="88"/>
      <c r="D545" s="89"/>
      <c r="E545" s="90"/>
      <c r="F545" s="90"/>
      <c r="G545" s="75"/>
      <c r="J545" s="54"/>
    </row>
    <row r="546" spans="1:10" s="34" customFormat="1" x14ac:dyDescent="0.25">
      <c r="A546" s="33"/>
      <c r="B546" s="33"/>
      <c r="C546" s="88"/>
      <c r="D546" s="89"/>
      <c r="E546" s="90"/>
      <c r="F546" s="90"/>
      <c r="G546" s="75"/>
      <c r="J546" s="54"/>
    </row>
    <row r="547" spans="1:10" s="34" customFormat="1" x14ac:dyDescent="0.25">
      <c r="A547" s="33"/>
      <c r="B547" s="33"/>
      <c r="C547" s="88"/>
      <c r="D547" s="89"/>
      <c r="E547" s="90"/>
      <c r="F547" s="90"/>
      <c r="G547" s="75"/>
      <c r="J547" s="54"/>
    </row>
    <row r="548" spans="1:10" s="34" customFormat="1" x14ac:dyDescent="0.25">
      <c r="A548" s="33"/>
      <c r="B548" s="33"/>
      <c r="C548" s="88"/>
      <c r="D548" s="89"/>
      <c r="E548" s="90"/>
      <c r="F548" s="90"/>
      <c r="G548" s="75"/>
      <c r="J548" s="54"/>
    </row>
    <row r="549" spans="1:10" s="34" customFormat="1" x14ac:dyDescent="0.25">
      <c r="A549" s="33"/>
      <c r="B549" s="33"/>
      <c r="C549" s="88"/>
      <c r="D549" s="89"/>
      <c r="E549" s="90"/>
      <c r="F549" s="90"/>
      <c r="G549" s="75"/>
      <c r="J549" s="54"/>
    </row>
    <row r="550" spans="1:10" s="34" customFormat="1" x14ac:dyDescent="0.25">
      <c r="A550" s="33"/>
      <c r="B550" s="33"/>
      <c r="C550" s="88"/>
      <c r="D550" s="89"/>
      <c r="E550" s="90"/>
      <c r="F550" s="90"/>
      <c r="G550" s="75"/>
      <c r="J550" s="54"/>
    </row>
    <row r="551" spans="1:10" s="34" customFormat="1" x14ac:dyDescent="0.25">
      <c r="A551" s="33"/>
      <c r="B551" s="33"/>
      <c r="C551" s="88"/>
      <c r="D551" s="89"/>
      <c r="E551" s="90"/>
      <c r="F551" s="90"/>
      <c r="G551" s="75"/>
      <c r="J551" s="54"/>
    </row>
    <row r="552" spans="1:10" s="34" customFormat="1" x14ac:dyDescent="0.25">
      <c r="A552" s="33"/>
      <c r="B552" s="33"/>
      <c r="C552" s="88"/>
      <c r="D552" s="89"/>
      <c r="E552" s="90"/>
      <c r="F552" s="90"/>
      <c r="G552" s="75"/>
      <c r="J552" s="54"/>
    </row>
    <row r="553" spans="1:10" s="34" customFormat="1" x14ac:dyDescent="0.25">
      <c r="A553" s="33"/>
      <c r="B553" s="33"/>
      <c r="C553" s="88"/>
      <c r="D553" s="89"/>
      <c r="E553" s="90"/>
      <c r="F553" s="90"/>
      <c r="G553" s="75"/>
      <c r="J553" s="54"/>
    </row>
    <row r="554" spans="1:10" s="34" customFormat="1" x14ac:dyDescent="0.25">
      <c r="A554" s="33"/>
      <c r="B554" s="33"/>
      <c r="C554" s="88"/>
      <c r="D554" s="89"/>
      <c r="E554" s="90"/>
      <c r="F554" s="90"/>
      <c r="G554" s="75"/>
      <c r="J554" s="54"/>
    </row>
    <row r="555" spans="1:10" s="34" customFormat="1" x14ac:dyDescent="0.25">
      <c r="A555" s="33"/>
      <c r="B555" s="33"/>
      <c r="C555" s="88"/>
      <c r="D555" s="89"/>
      <c r="E555" s="90"/>
      <c r="F555" s="90"/>
      <c r="G555" s="75"/>
      <c r="J555" s="54"/>
    </row>
    <row r="556" spans="1:10" s="34" customFormat="1" x14ac:dyDescent="0.25">
      <c r="A556" s="33"/>
      <c r="B556" s="33"/>
      <c r="C556" s="88"/>
      <c r="D556" s="89"/>
      <c r="E556" s="90"/>
      <c r="F556" s="90"/>
      <c r="G556" s="75"/>
      <c r="J556" s="54"/>
    </row>
    <row r="557" spans="1:10" s="34" customFormat="1" x14ac:dyDescent="0.25">
      <c r="A557" s="33"/>
      <c r="B557" s="33"/>
      <c r="C557" s="88"/>
      <c r="D557" s="89"/>
      <c r="E557" s="90"/>
      <c r="F557" s="90"/>
      <c r="G557" s="75"/>
      <c r="J557" s="54"/>
    </row>
    <row r="558" spans="1:10" s="34" customFormat="1" x14ac:dyDescent="0.25">
      <c r="A558" s="33"/>
      <c r="B558" s="33"/>
      <c r="C558" s="88"/>
      <c r="D558" s="89"/>
      <c r="E558" s="90"/>
      <c r="F558" s="90"/>
      <c r="G558" s="75"/>
      <c r="J558" s="54"/>
    </row>
    <row r="559" spans="1:10" s="34" customFormat="1" x14ac:dyDescent="0.25">
      <c r="A559" s="33"/>
      <c r="B559" s="33"/>
      <c r="C559" s="88"/>
      <c r="D559" s="89"/>
      <c r="E559" s="90"/>
      <c r="F559" s="90"/>
      <c r="G559" s="75"/>
      <c r="J559" s="54"/>
    </row>
    <row r="560" spans="1:10" s="34" customFormat="1" x14ac:dyDescent="0.25">
      <c r="A560" s="33"/>
      <c r="B560" s="33"/>
      <c r="C560" s="88"/>
      <c r="D560" s="89"/>
      <c r="E560" s="90"/>
      <c r="F560" s="90"/>
      <c r="G560" s="75"/>
      <c r="J560" s="54"/>
    </row>
    <row r="561" spans="1:10" s="34" customFormat="1" x14ac:dyDescent="0.25">
      <c r="A561" s="33"/>
      <c r="B561" s="33"/>
      <c r="C561" s="88"/>
      <c r="D561" s="89"/>
      <c r="E561" s="90"/>
      <c r="F561" s="90"/>
      <c r="G561" s="75"/>
      <c r="J561" s="54"/>
    </row>
    <row r="562" spans="1:10" s="34" customFormat="1" x14ac:dyDescent="0.25">
      <c r="A562" s="33"/>
      <c r="B562" s="33"/>
      <c r="C562" s="88"/>
      <c r="D562" s="89"/>
      <c r="E562" s="90"/>
      <c r="F562" s="90"/>
      <c r="G562" s="75"/>
      <c r="J562" s="54"/>
    </row>
    <row r="563" spans="1:10" s="34" customFormat="1" x14ac:dyDescent="0.25">
      <c r="A563" s="33"/>
      <c r="B563" s="33"/>
      <c r="C563" s="88"/>
      <c r="D563" s="89"/>
      <c r="E563" s="90"/>
      <c r="F563" s="90"/>
      <c r="G563" s="75"/>
      <c r="J563" s="54"/>
    </row>
    <row r="564" spans="1:10" s="34" customFormat="1" x14ac:dyDescent="0.25">
      <c r="A564" s="33"/>
      <c r="B564" s="33"/>
      <c r="C564" s="88"/>
      <c r="D564" s="89"/>
      <c r="E564" s="90"/>
      <c r="F564" s="90"/>
      <c r="G564" s="75"/>
      <c r="J564" s="54"/>
    </row>
    <row r="565" spans="1:10" s="34" customFormat="1" x14ac:dyDescent="0.25">
      <c r="A565" s="33"/>
      <c r="B565" s="33"/>
      <c r="C565" s="88"/>
      <c r="D565" s="89"/>
      <c r="E565" s="90"/>
      <c r="F565" s="90"/>
      <c r="G565" s="75"/>
      <c r="J565" s="54"/>
    </row>
    <row r="566" spans="1:10" s="34" customFormat="1" x14ac:dyDescent="0.25">
      <c r="A566" s="33"/>
      <c r="B566" s="33"/>
      <c r="C566" s="88"/>
      <c r="D566" s="89"/>
      <c r="E566" s="90"/>
      <c r="F566" s="90"/>
      <c r="G566" s="75"/>
      <c r="J566" s="54"/>
    </row>
    <row r="567" spans="1:10" s="34" customFormat="1" x14ac:dyDescent="0.25">
      <c r="A567" s="33"/>
      <c r="B567" s="33"/>
      <c r="C567" s="88"/>
      <c r="D567" s="89"/>
      <c r="E567" s="90"/>
      <c r="F567" s="90"/>
      <c r="G567" s="75"/>
      <c r="J567" s="54"/>
    </row>
    <row r="568" spans="1:10" s="34" customFormat="1" x14ac:dyDescent="0.25">
      <c r="A568" s="33"/>
      <c r="B568" s="33"/>
      <c r="C568" s="88"/>
      <c r="D568" s="89"/>
      <c r="E568" s="90"/>
      <c r="F568" s="90"/>
      <c r="G568" s="75"/>
      <c r="J568" s="54"/>
    </row>
    <row r="569" spans="1:10" s="34" customFormat="1" x14ac:dyDescent="0.25">
      <c r="A569" s="33"/>
      <c r="B569" s="33"/>
      <c r="C569" s="88"/>
      <c r="D569" s="89"/>
      <c r="E569" s="90"/>
      <c r="F569" s="90"/>
      <c r="G569" s="75"/>
      <c r="J569" s="54"/>
    </row>
    <row r="570" spans="1:10" s="34" customFormat="1" x14ac:dyDescent="0.25">
      <c r="A570" s="33"/>
      <c r="B570" s="33"/>
      <c r="C570" s="88"/>
      <c r="D570" s="89"/>
      <c r="E570" s="90"/>
      <c r="F570" s="90"/>
      <c r="G570" s="75"/>
      <c r="J570" s="54"/>
    </row>
    <row r="571" spans="1:10" s="34" customFormat="1" x14ac:dyDescent="0.25">
      <c r="A571" s="33"/>
      <c r="B571" s="33"/>
      <c r="C571" s="88"/>
      <c r="D571" s="89"/>
      <c r="E571" s="90"/>
      <c r="F571" s="90"/>
      <c r="G571" s="75"/>
      <c r="J571" s="54"/>
    </row>
    <row r="572" spans="1:10" s="34" customFormat="1" x14ac:dyDescent="0.25">
      <c r="A572" s="33"/>
      <c r="B572" s="33"/>
      <c r="C572" s="88"/>
      <c r="D572" s="89"/>
      <c r="E572" s="90"/>
      <c r="F572" s="90"/>
      <c r="G572" s="75"/>
      <c r="J572" s="54"/>
    </row>
    <row r="573" spans="1:10" s="34" customFormat="1" x14ac:dyDescent="0.25">
      <c r="A573" s="33"/>
      <c r="B573" s="33"/>
      <c r="C573" s="88"/>
      <c r="D573" s="89"/>
      <c r="E573" s="90"/>
      <c r="F573" s="90"/>
      <c r="G573" s="75"/>
      <c r="J573" s="54"/>
    </row>
    <row r="574" spans="1:10" s="34" customFormat="1" x14ac:dyDescent="0.25">
      <c r="A574" s="33"/>
      <c r="B574" s="33"/>
      <c r="C574" s="88"/>
      <c r="D574" s="89"/>
      <c r="E574" s="90"/>
      <c r="F574" s="90"/>
      <c r="G574" s="75"/>
      <c r="J574" s="54"/>
    </row>
    <row r="575" spans="1:10" s="34" customFormat="1" x14ac:dyDescent="0.25">
      <c r="A575" s="33"/>
      <c r="B575" s="33"/>
      <c r="C575" s="88"/>
      <c r="D575" s="89"/>
      <c r="E575" s="90"/>
      <c r="F575" s="90"/>
      <c r="G575" s="75"/>
      <c r="J575" s="54"/>
    </row>
    <row r="576" spans="1:10" s="34" customFormat="1" x14ac:dyDescent="0.25">
      <c r="A576" s="33"/>
      <c r="B576" s="33"/>
      <c r="C576" s="88"/>
      <c r="D576" s="89"/>
      <c r="E576" s="90"/>
      <c r="F576" s="90"/>
      <c r="G576" s="75"/>
      <c r="J576" s="54"/>
    </row>
    <row r="577" spans="1:10" s="34" customFormat="1" x14ac:dyDescent="0.25">
      <c r="A577" s="33"/>
      <c r="B577" s="33"/>
      <c r="C577" s="88"/>
      <c r="D577" s="89"/>
      <c r="E577" s="90"/>
      <c r="F577" s="90"/>
      <c r="G577" s="75"/>
      <c r="J577" s="54"/>
    </row>
    <row r="578" spans="1:10" s="34" customFormat="1" x14ac:dyDescent="0.25">
      <c r="A578" s="33"/>
      <c r="B578" s="33"/>
      <c r="C578" s="88"/>
      <c r="D578" s="89"/>
      <c r="E578" s="90"/>
      <c r="F578" s="90"/>
      <c r="G578" s="75"/>
      <c r="J578" s="54"/>
    </row>
    <row r="579" spans="1:10" s="34" customFormat="1" x14ac:dyDescent="0.25">
      <c r="A579" s="33"/>
      <c r="B579" s="33"/>
      <c r="C579" s="88"/>
      <c r="D579" s="89"/>
      <c r="E579" s="90"/>
      <c r="F579" s="90"/>
      <c r="G579" s="75"/>
      <c r="J579" s="54"/>
    </row>
    <row r="580" spans="1:10" s="34" customFormat="1" x14ac:dyDescent="0.25">
      <c r="A580" s="33"/>
      <c r="B580" s="33"/>
      <c r="C580" s="88"/>
      <c r="D580" s="89"/>
      <c r="E580" s="90"/>
      <c r="F580" s="90"/>
      <c r="G580" s="75"/>
      <c r="J580" s="54"/>
    </row>
    <row r="581" spans="1:10" s="34" customFormat="1" x14ac:dyDescent="0.25">
      <c r="A581" s="33"/>
      <c r="B581" s="33"/>
      <c r="C581" s="88"/>
      <c r="D581" s="89"/>
      <c r="E581" s="90"/>
      <c r="F581" s="90"/>
      <c r="G581" s="75"/>
      <c r="J581" s="54"/>
    </row>
    <row r="582" spans="1:10" s="34" customFormat="1" x14ac:dyDescent="0.25">
      <c r="A582" s="33"/>
      <c r="B582" s="33"/>
      <c r="C582" s="88"/>
      <c r="D582" s="89"/>
      <c r="E582" s="90"/>
      <c r="F582" s="90"/>
      <c r="G582" s="75"/>
      <c r="J582" s="54"/>
    </row>
    <row r="583" spans="1:10" s="34" customFormat="1" x14ac:dyDescent="0.25">
      <c r="A583" s="33"/>
      <c r="B583" s="33"/>
      <c r="C583" s="88"/>
      <c r="D583" s="89"/>
      <c r="E583" s="90"/>
      <c r="F583" s="90"/>
      <c r="G583" s="75"/>
      <c r="J583" s="54"/>
    </row>
    <row r="584" spans="1:10" s="34" customFormat="1" x14ac:dyDescent="0.25">
      <c r="A584" s="33"/>
      <c r="B584" s="33"/>
      <c r="C584" s="88"/>
      <c r="D584" s="89"/>
      <c r="E584" s="90"/>
      <c r="F584" s="90"/>
      <c r="G584" s="75"/>
      <c r="J584" s="54"/>
    </row>
    <row r="585" spans="1:10" s="34" customFormat="1" x14ac:dyDescent="0.25">
      <c r="A585" s="33"/>
      <c r="B585" s="33"/>
      <c r="C585" s="88"/>
      <c r="D585" s="89"/>
      <c r="E585" s="90"/>
      <c r="F585" s="90"/>
      <c r="G585" s="75"/>
      <c r="J585" s="54"/>
    </row>
    <row r="586" spans="1:10" s="34" customFormat="1" x14ac:dyDescent="0.25">
      <c r="A586" s="33"/>
      <c r="B586" s="33"/>
      <c r="C586" s="88"/>
      <c r="D586" s="89"/>
      <c r="E586" s="90"/>
      <c r="F586" s="90"/>
      <c r="G586" s="75"/>
      <c r="J586" s="54"/>
    </row>
    <row r="587" spans="1:10" s="34" customFormat="1" x14ac:dyDescent="0.25">
      <c r="A587" s="33"/>
      <c r="B587" s="33"/>
      <c r="C587" s="88"/>
      <c r="D587" s="89"/>
      <c r="E587" s="90"/>
      <c r="F587" s="90"/>
      <c r="G587" s="75"/>
      <c r="J587" s="54"/>
    </row>
    <row r="588" spans="1:10" s="34" customFormat="1" x14ac:dyDescent="0.25">
      <c r="A588" s="33"/>
      <c r="B588" s="33"/>
      <c r="C588" s="88"/>
      <c r="D588" s="89"/>
      <c r="E588" s="90"/>
      <c r="F588" s="90"/>
      <c r="G588" s="75"/>
      <c r="J588" s="54"/>
    </row>
    <row r="589" spans="1:10" s="34" customFormat="1" x14ac:dyDescent="0.25">
      <c r="A589" s="33"/>
      <c r="B589" s="33"/>
      <c r="C589" s="88"/>
      <c r="D589" s="89"/>
      <c r="E589" s="90"/>
      <c r="F589" s="90"/>
      <c r="G589" s="75"/>
      <c r="J589" s="54"/>
    </row>
    <row r="590" spans="1:10" s="34" customFormat="1" x14ac:dyDescent="0.25">
      <c r="A590" s="33"/>
      <c r="B590" s="33"/>
      <c r="C590" s="88"/>
      <c r="D590" s="89"/>
      <c r="E590" s="90"/>
      <c r="F590" s="90"/>
      <c r="G590" s="75"/>
      <c r="J590" s="54"/>
    </row>
    <row r="591" spans="1:10" s="34" customFormat="1" x14ac:dyDescent="0.25">
      <c r="A591" s="33"/>
      <c r="B591" s="33"/>
      <c r="C591" s="88"/>
      <c r="D591" s="89"/>
      <c r="E591" s="90"/>
      <c r="F591" s="90"/>
      <c r="G591" s="75"/>
      <c r="J591" s="54"/>
    </row>
    <row r="592" spans="1:10" s="34" customFormat="1" x14ac:dyDescent="0.25">
      <c r="A592" s="33"/>
      <c r="B592" s="33"/>
      <c r="C592" s="88"/>
      <c r="D592" s="89"/>
      <c r="E592" s="90"/>
      <c r="F592" s="90"/>
      <c r="G592" s="75"/>
      <c r="J592" s="54"/>
    </row>
    <row r="593" spans="1:10" s="34" customFormat="1" x14ac:dyDescent="0.25">
      <c r="A593" s="33"/>
      <c r="B593" s="33"/>
      <c r="C593" s="88"/>
      <c r="D593" s="89"/>
      <c r="E593" s="90"/>
      <c r="F593" s="90"/>
      <c r="G593" s="75"/>
      <c r="J593" s="54"/>
    </row>
    <row r="594" spans="1:10" s="34" customFormat="1" x14ac:dyDescent="0.25">
      <c r="A594" s="33"/>
      <c r="B594" s="33"/>
      <c r="C594" s="88"/>
      <c r="D594" s="89"/>
      <c r="E594" s="90"/>
      <c r="F594" s="90"/>
      <c r="G594" s="75"/>
      <c r="J594" s="54"/>
    </row>
    <row r="595" spans="1:10" s="34" customFormat="1" x14ac:dyDescent="0.25">
      <c r="A595" s="33"/>
      <c r="B595" s="33"/>
      <c r="C595" s="88"/>
      <c r="D595" s="89"/>
      <c r="E595" s="90"/>
      <c r="F595" s="90"/>
      <c r="G595" s="75"/>
      <c r="J595" s="54"/>
    </row>
    <row r="596" spans="1:10" s="34" customFormat="1" x14ac:dyDescent="0.25">
      <c r="A596" s="33"/>
      <c r="B596" s="33"/>
      <c r="C596" s="88"/>
      <c r="D596" s="89"/>
      <c r="E596" s="90"/>
      <c r="F596" s="90"/>
      <c r="G596" s="75"/>
      <c r="J596" s="54"/>
    </row>
    <row r="597" spans="1:10" s="34" customFormat="1" x14ac:dyDescent="0.25">
      <c r="A597" s="33"/>
      <c r="B597" s="33"/>
      <c r="C597" s="88"/>
      <c r="D597" s="89"/>
      <c r="E597" s="90"/>
      <c r="F597" s="90"/>
      <c r="G597" s="75"/>
      <c r="J597" s="54"/>
    </row>
    <row r="598" spans="1:10" s="34" customFormat="1" x14ac:dyDescent="0.25">
      <c r="A598" s="33"/>
      <c r="B598" s="33"/>
      <c r="C598" s="88"/>
      <c r="D598" s="89"/>
      <c r="E598" s="90"/>
      <c r="F598" s="90"/>
      <c r="G598" s="75"/>
      <c r="J598" s="54"/>
    </row>
    <row r="599" spans="1:10" s="34" customFormat="1" x14ac:dyDescent="0.25">
      <c r="A599" s="33"/>
      <c r="B599" s="33"/>
      <c r="C599" s="88"/>
      <c r="D599" s="89"/>
      <c r="E599" s="90"/>
      <c r="F599" s="90"/>
      <c r="G599" s="75"/>
      <c r="J599" s="54"/>
    </row>
    <row r="600" spans="1:10" s="34" customFormat="1" x14ac:dyDescent="0.25">
      <c r="A600" s="33"/>
      <c r="B600" s="33"/>
      <c r="C600" s="88"/>
      <c r="D600" s="89"/>
      <c r="E600" s="90"/>
      <c r="F600" s="90"/>
      <c r="G600" s="75"/>
      <c r="J600" s="54"/>
    </row>
    <row r="601" spans="1:10" s="34" customFormat="1" x14ac:dyDescent="0.25">
      <c r="A601" s="33"/>
      <c r="B601" s="33"/>
      <c r="C601" s="88"/>
      <c r="D601" s="89"/>
      <c r="E601" s="90"/>
      <c r="F601" s="90"/>
      <c r="G601" s="75"/>
      <c r="J601" s="54"/>
    </row>
    <row r="602" spans="1:10" s="34" customFormat="1" x14ac:dyDescent="0.25">
      <c r="A602" s="33"/>
      <c r="B602" s="33"/>
      <c r="C602" s="88"/>
      <c r="D602" s="89"/>
      <c r="E602" s="90"/>
      <c r="F602" s="90"/>
      <c r="G602" s="75"/>
      <c r="J602" s="54"/>
    </row>
    <row r="603" spans="1:10" s="34" customFormat="1" x14ac:dyDescent="0.25">
      <c r="A603" s="33"/>
      <c r="B603" s="33"/>
      <c r="C603" s="88"/>
      <c r="D603" s="89"/>
      <c r="E603" s="90"/>
      <c r="F603" s="90"/>
      <c r="G603" s="75"/>
      <c r="J603" s="54"/>
    </row>
    <row r="604" spans="1:10" s="34" customFormat="1" x14ac:dyDescent="0.25">
      <c r="A604" s="33"/>
      <c r="B604" s="33"/>
      <c r="C604" s="88"/>
      <c r="D604" s="89"/>
      <c r="E604" s="90"/>
      <c r="F604" s="90"/>
      <c r="G604" s="75"/>
      <c r="J604" s="54"/>
    </row>
    <row r="605" spans="1:10" s="34" customFormat="1" x14ac:dyDescent="0.25">
      <c r="A605" s="33"/>
      <c r="B605" s="33"/>
      <c r="C605" s="88"/>
      <c r="D605" s="89"/>
      <c r="E605" s="90"/>
      <c r="F605" s="90"/>
      <c r="G605" s="75"/>
      <c r="J605" s="54"/>
    </row>
    <row r="606" spans="1:10" s="34" customFormat="1" x14ac:dyDescent="0.25">
      <c r="A606" s="33"/>
      <c r="B606" s="33"/>
      <c r="C606" s="88"/>
      <c r="D606" s="89"/>
      <c r="E606" s="90"/>
      <c r="F606" s="90"/>
      <c r="G606" s="75"/>
      <c r="J606" s="54"/>
    </row>
    <row r="607" spans="1:10" s="34" customFormat="1" x14ac:dyDescent="0.25">
      <c r="A607" s="33"/>
      <c r="B607" s="33"/>
      <c r="C607" s="88"/>
      <c r="D607" s="89"/>
      <c r="E607" s="90"/>
      <c r="F607" s="90"/>
      <c r="G607" s="75"/>
      <c r="J607" s="54"/>
    </row>
    <row r="608" spans="1:10" s="34" customFormat="1" x14ac:dyDescent="0.25">
      <c r="A608" s="33"/>
      <c r="B608" s="33"/>
      <c r="C608" s="88"/>
      <c r="D608" s="89"/>
      <c r="E608" s="90"/>
      <c r="F608" s="90"/>
      <c r="G608" s="75"/>
      <c r="J608" s="54"/>
    </row>
    <row r="609" spans="1:10" s="34" customFormat="1" x14ac:dyDescent="0.25">
      <c r="A609" s="33"/>
      <c r="B609" s="33"/>
      <c r="C609" s="88"/>
      <c r="D609" s="89"/>
      <c r="E609" s="90"/>
      <c r="F609" s="90"/>
      <c r="G609" s="75"/>
      <c r="J609" s="54"/>
    </row>
    <row r="610" spans="1:10" s="34" customFormat="1" x14ac:dyDescent="0.25">
      <c r="A610" s="33"/>
      <c r="B610" s="33"/>
      <c r="C610" s="88"/>
      <c r="D610" s="89"/>
      <c r="E610" s="90"/>
      <c r="F610" s="90"/>
      <c r="G610" s="75"/>
      <c r="J610" s="54"/>
    </row>
    <row r="611" spans="1:10" s="34" customFormat="1" x14ac:dyDescent="0.25">
      <c r="A611" s="33"/>
      <c r="B611" s="33"/>
      <c r="C611" s="88"/>
      <c r="D611" s="89"/>
      <c r="E611" s="90"/>
      <c r="F611" s="90"/>
      <c r="G611" s="75"/>
      <c r="J611" s="54"/>
    </row>
    <row r="612" spans="1:10" s="34" customFormat="1" x14ac:dyDescent="0.25">
      <c r="A612" s="33"/>
      <c r="B612" s="33"/>
      <c r="C612" s="88"/>
      <c r="D612" s="89"/>
      <c r="E612" s="90"/>
      <c r="F612" s="90"/>
      <c r="G612" s="75"/>
      <c r="J612" s="54"/>
    </row>
    <row r="613" spans="1:10" s="34" customFormat="1" x14ac:dyDescent="0.25">
      <c r="A613" s="33"/>
      <c r="B613" s="33"/>
      <c r="C613" s="88"/>
      <c r="D613" s="89"/>
      <c r="E613" s="90"/>
      <c r="F613" s="90"/>
      <c r="G613" s="75"/>
      <c r="J613" s="54"/>
    </row>
    <row r="614" spans="1:10" s="34" customFormat="1" x14ac:dyDescent="0.25">
      <c r="A614" s="33"/>
      <c r="B614" s="33"/>
      <c r="C614" s="88"/>
      <c r="D614" s="89"/>
      <c r="E614" s="90"/>
      <c r="F614" s="90"/>
      <c r="G614" s="75"/>
      <c r="J614" s="54"/>
    </row>
    <row r="615" spans="1:10" s="34" customFormat="1" x14ac:dyDescent="0.25">
      <c r="A615" s="33"/>
      <c r="B615" s="33"/>
      <c r="C615" s="88"/>
      <c r="D615" s="89"/>
      <c r="E615" s="90"/>
      <c r="F615" s="90"/>
      <c r="G615" s="75"/>
      <c r="J615" s="54"/>
    </row>
    <row r="616" spans="1:10" s="34" customFormat="1" x14ac:dyDescent="0.25">
      <c r="A616" s="33"/>
      <c r="B616" s="33"/>
      <c r="C616" s="88"/>
      <c r="D616" s="89"/>
      <c r="E616" s="90"/>
      <c r="F616" s="90"/>
      <c r="G616" s="75"/>
      <c r="J616" s="54"/>
    </row>
    <row r="617" spans="1:10" s="34" customFormat="1" x14ac:dyDescent="0.25">
      <c r="A617" s="33"/>
      <c r="B617" s="33"/>
      <c r="C617" s="88"/>
      <c r="D617" s="89"/>
      <c r="E617" s="90"/>
      <c r="F617" s="90"/>
      <c r="G617" s="75"/>
      <c r="J617" s="54"/>
    </row>
    <row r="618" spans="1:10" s="34" customFormat="1" x14ac:dyDescent="0.25">
      <c r="A618" s="33"/>
      <c r="B618" s="33"/>
      <c r="C618" s="88"/>
      <c r="D618" s="89"/>
      <c r="E618" s="90"/>
      <c r="F618" s="90"/>
      <c r="G618" s="75"/>
      <c r="J618" s="54"/>
    </row>
    <row r="619" spans="1:10" s="34" customFormat="1" x14ac:dyDescent="0.25">
      <c r="A619" s="33"/>
      <c r="B619" s="33"/>
      <c r="C619" s="88"/>
      <c r="D619" s="89"/>
      <c r="E619" s="90"/>
      <c r="F619" s="90"/>
      <c r="G619" s="75"/>
      <c r="J619" s="54"/>
    </row>
    <row r="620" spans="1:10" s="34" customFormat="1" x14ac:dyDescent="0.25">
      <c r="A620" s="33"/>
      <c r="B620" s="33"/>
      <c r="C620" s="88"/>
      <c r="D620" s="89"/>
      <c r="E620" s="90"/>
      <c r="F620" s="90"/>
      <c r="G620" s="75"/>
      <c r="J620" s="54"/>
    </row>
    <row r="621" spans="1:10" s="34" customFormat="1" x14ac:dyDescent="0.25">
      <c r="A621" s="33"/>
      <c r="B621" s="33"/>
      <c r="C621" s="88"/>
      <c r="D621" s="89"/>
      <c r="E621" s="90"/>
      <c r="F621" s="90"/>
      <c r="G621" s="75"/>
      <c r="J621" s="54"/>
    </row>
    <row r="622" spans="1:10" s="34" customFormat="1" x14ac:dyDescent="0.25">
      <c r="A622" s="33"/>
      <c r="B622" s="33"/>
      <c r="C622" s="88"/>
      <c r="D622" s="89"/>
      <c r="E622" s="90"/>
      <c r="F622" s="90"/>
      <c r="G622" s="75"/>
      <c r="J622" s="54"/>
    </row>
    <row r="623" spans="1:10" s="34" customFormat="1" x14ac:dyDescent="0.25">
      <c r="A623" s="33"/>
      <c r="B623" s="33"/>
      <c r="C623" s="88"/>
      <c r="D623" s="89"/>
      <c r="E623" s="90"/>
      <c r="F623" s="90"/>
      <c r="G623" s="75"/>
      <c r="J623" s="54"/>
    </row>
    <row r="624" spans="1:10" s="34" customFormat="1" x14ac:dyDescent="0.25">
      <c r="A624" s="33"/>
      <c r="B624" s="33"/>
      <c r="C624" s="88"/>
      <c r="D624" s="89"/>
      <c r="E624" s="90"/>
      <c r="F624" s="90"/>
      <c r="G624" s="75"/>
      <c r="J624" s="54"/>
    </row>
    <row r="625" spans="1:10" s="34" customFormat="1" x14ac:dyDescent="0.25">
      <c r="A625" s="33"/>
      <c r="B625" s="33"/>
      <c r="C625" s="88"/>
      <c r="D625" s="89"/>
      <c r="E625" s="90"/>
      <c r="F625" s="90"/>
      <c r="G625" s="75"/>
      <c r="J625" s="54"/>
    </row>
    <row r="626" spans="1:10" s="34" customFormat="1" x14ac:dyDescent="0.25">
      <c r="A626" s="33"/>
      <c r="B626" s="33"/>
      <c r="C626" s="88"/>
      <c r="D626" s="89"/>
      <c r="E626" s="90"/>
      <c r="F626" s="90"/>
      <c r="G626" s="75"/>
      <c r="J626" s="54"/>
    </row>
    <row r="627" spans="1:10" s="34" customFormat="1" x14ac:dyDescent="0.25">
      <c r="A627" s="33"/>
      <c r="B627" s="33"/>
      <c r="C627" s="88"/>
      <c r="D627" s="89"/>
      <c r="E627" s="90"/>
      <c r="F627" s="90"/>
      <c r="G627" s="75"/>
      <c r="J627" s="54"/>
    </row>
    <row r="628" spans="1:10" s="34" customFormat="1" x14ac:dyDescent="0.25">
      <c r="A628" s="33"/>
      <c r="B628" s="33"/>
      <c r="C628" s="88"/>
      <c r="D628" s="89"/>
      <c r="E628" s="90"/>
      <c r="F628" s="90"/>
      <c r="G628" s="75"/>
      <c r="J628" s="54"/>
    </row>
    <row r="629" spans="1:10" s="34" customFormat="1" x14ac:dyDescent="0.25">
      <c r="A629" s="33"/>
      <c r="B629" s="33"/>
      <c r="C629" s="88"/>
      <c r="D629" s="89"/>
      <c r="E629" s="90"/>
      <c r="F629" s="90"/>
      <c r="G629" s="75"/>
      <c r="J629" s="54"/>
    </row>
    <row r="630" spans="1:10" s="34" customFormat="1" x14ac:dyDescent="0.25">
      <c r="A630" s="33"/>
      <c r="B630" s="33"/>
      <c r="C630" s="88"/>
      <c r="D630" s="89"/>
      <c r="E630" s="90"/>
      <c r="F630" s="90"/>
      <c r="G630" s="75"/>
      <c r="J630" s="54"/>
    </row>
  </sheetData>
  <sheetProtection algorithmName="SHA-512" hashValue="jqOQ7KwR/u4SimrTx0hjUUV+5M+B85OuRPqVkGElxkMLBF2185v9mE+StBRQrhWxvjSnSKMSzt1ppolrnDOUCQ==" saltValue="j9fWifNGGGi95NyYQcQTvA==" spinCount="100000" sheet="1" selectLockedCells="1"/>
  <protectedRanges>
    <protectedRange sqref="G301:G303" name="CRTFD"/>
  </protectedRanges>
  <mergeCells count="40">
    <mergeCell ref="G302:J302"/>
    <mergeCell ref="G303:J303"/>
    <mergeCell ref="B293:C294"/>
    <mergeCell ref="D293:E293"/>
    <mergeCell ref="G293:H293"/>
    <mergeCell ref="D294:F294"/>
    <mergeCell ref="G294:I294"/>
    <mergeCell ref="G301:J301"/>
    <mergeCell ref="B189:G189"/>
    <mergeCell ref="B196:G196"/>
    <mergeCell ref="B286:G286"/>
    <mergeCell ref="B288:G288"/>
    <mergeCell ref="B292:C292"/>
    <mergeCell ref="D292:F292"/>
    <mergeCell ref="G292:I292"/>
    <mergeCell ref="B166:G166"/>
    <mergeCell ref="B21:G21"/>
    <mergeCell ref="B34:G34"/>
    <mergeCell ref="B48:G48"/>
    <mergeCell ref="B57:G57"/>
    <mergeCell ref="B69:G69"/>
    <mergeCell ref="B80:G80"/>
    <mergeCell ref="B88:G88"/>
    <mergeCell ref="B97:G97"/>
    <mergeCell ref="B134:G134"/>
    <mergeCell ref="B140:G140"/>
    <mergeCell ref="B151:G151"/>
    <mergeCell ref="R4:R5"/>
    <mergeCell ref="A1:I1"/>
    <mergeCell ref="B4:B5"/>
    <mergeCell ref="C4:C5"/>
    <mergeCell ref="D4:F4"/>
    <mergeCell ref="G4:G5"/>
    <mergeCell ref="H4:H5"/>
    <mergeCell ref="I4:I5"/>
    <mergeCell ref="K4:K5"/>
    <mergeCell ref="L4:L5"/>
    <mergeCell ref="M4:O4"/>
    <mergeCell ref="P4:P5"/>
    <mergeCell ref="Q4:Q5"/>
  </mergeCells>
  <dataValidations count="1">
    <dataValidation type="list" allowBlank="1" showDropDown="1" showErrorMessage="1" sqref="B24:B25 B41" xr:uid="{64190281-ACAA-4122-B775-81CBCE0CB314}">
      <formula1>Category1</formula1>
    </dataValidation>
  </dataValidations>
  <printOptions horizontalCentered="1"/>
  <pageMargins left="0.25" right="0.25" top="0.75" bottom="0.75" header="0.3" footer="0.3"/>
  <pageSetup paperSize="9" scale="5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C4ISTAR EQUIPMENT FORMAT</vt:lpstr>
      <vt:lpstr>'C4ISTAR EQUIPMENT FORMAT'!Print_Area</vt:lpstr>
      <vt:lpstr>'C4ISTAR EQUIPMENT FORMAT'!Print_Titles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onel plants</dc:creator>
  <cp:lastModifiedBy>OG6 GHQHSC</cp:lastModifiedBy>
  <cp:lastPrinted>2026-07-30T03:47:17Z</cp:lastPrinted>
  <dcterms:created xsi:type="dcterms:W3CDTF">2023-11-16T06:46:49Z</dcterms:created>
  <dcterms:modified xsi:type="dcterms:W3CDTF">2026-07-30T03:48:16Z</dcterms:modified>
</cp:coreProperties>
</file>